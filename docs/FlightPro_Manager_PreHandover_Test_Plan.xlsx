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Test Plan" sheetId="2" state="visible" r:id="rId4"/>
    <sheet name="Summary" sheetId="3" state="visible" r:id="rId5"/>
  </sheets>
  <definedNames>
    <definedName function="false" hidden="true" localSheetId="1" name="_xlnm._FilterDatabase" vbProcedure="false">'Test Plan'!$A$1:$H$37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<sst xmlns="http://schemas.openxmlformats.org/spreadsheetml/2006/main" count="214" uniqueCount="165">
  <si>
    <t xml:space="preserve">FlightPro Manager — Pre-Handover Test Plan</t>
  </si>
  <si>
    <t xml:space="preserve">Purpose: run this BEFORE handing the app to external testers. It focuses on what has changed recently and is not yet confirmed working — not a full re-test of the whole app (that's what the separate UAT Checklist is for).</t>
  </si>
  <si>
    <t xml:space="preserve">Why this matters right now: sessions 2 through 7 of recent work — including a round of security fixes (closing an IDOR bug and switching several admin screens off insecure direct database writes) and an accessibility round — were committed AND merged into production before this testing pass happened. That means those changes are already live for real users. Running the P0 section below is the priority.</t>
  </si>
  <si>
    <t xml:space="preserve">How this sheet is organized:</t>
  </si>
  <si>
    <t xml:space="preserve">  •  P0 (orange) — security &amp; accessibility fixes now live on production, untested. Run these first.</t>
  </si>
  <si>
    <t xml:space="preserve">  •  P1 (yellow) — features from sessions 2-6 (SPL/CPL auto-expiry, expiry alerts, Breath Analysis Report, sidebar fixes) that are live but mostly unconfirmed.</t>
  </si>
  <si>
    <t xml:space="preserve">  •  P2 (blue) — older backlog items from the original QA test plan that were never confirmed with a live test (permission overrides, role access matrix, booking rules, Safety Officer setup).</t>
  </si>
  <si>
    <t xml:space="preserve">Before you start (blocking):</t>
  </si>
  <si>
    <t xml:space="preserve">  1. Log in with accounts for at least: student, instructor, super_admin, operations, maintenance, safety_officer.</t>
  </si>
  <si>
    <t xml:space="preserve">  2. Test in both light and dark mode where relevant — the theme toggle is in the header.</t>
  </si>
  <si>
    <t xml:space="preserve">  3. For any case marked 'Fail' or 'Blocked', add a note in the Notes column describing what actually happened, and screenshot if visual.</t>
  </si>
  <si>
    <t xml:space="preserve">Result column: use the dropdown — Pass / Fail / Blocked / N/A.</t>
  </si>
  <si>
    <t xml:space="preserve">Once every P0 row is Pass (or a Fail is fixed and re-tested), production is confirmed stable and it's safe to hand the app to external testers with the separate UAT Checklist.</t>
  </si>
  <si>
    <t xml:space="preserve">See the 'Test Plan' tab for the full case list and the 'Summary' tab for a live pass/fail count.</t>
  </si>
  <si>
    <t xml:space="preserve">#</t>
  </si>
  <si>
    <t xml:space="preserve">Priority</t>
  </si>
  <si>
    <t xml:space="preserve">Module / Area</t>
  </si>
  <si>
    <t xml:space="preserve">Test Case</t>
  </si>
  <si>
    <t xml:space="preserve">Steps</t>
  </si>
  <si>
    <t xml:space="preserve">Expected Result</t>
  </si>
  <si>
    <t xml:space="preserve">Result</t>
  </si>
  <si>
    <t xml:space="preserve">Notes / Bug Ref</t>
  </si>
  <si>
    <t xml:space="preserve">P0</t>
  </si>
  <si>
    <t xml:space="preserve">Security: Admin Setup - Exercises</t>
  </si>
  <si>
    <t xml:space="preserve">Add/edit/delete an exercise</t>
  </si>
  <si>
    <t xml:space="preserve">Admin Setup &gt; Exercises. Add a new exercise, edit it, then delete it.</t>
  </si>
  <si>
    <t xml:space="preserve">All three actions succeed and persist after refresh, same as before the security fix.</t>
  </si>
  <si>
    <t xml:space="preserve">CSV bulk import still works</t>
  </si>
  <si>
    <t xml:space="preserve">Admin Setup &gt; Exercises &gt; download template, fill 1 new row + 1 row with an existing short_code, upload.</t>
  </si>
  <si>
    <t xml:space="preserve">New row added, duplicate row skipped, accurate summary shown (added/skipped counts).</t>
  </si>
  <si>
    <t xml:space="preserve">Security: Admin Setup - Training Programs</t>
  </si>
  <si>
    <t xml:space="preserve">Add/edit/delete a training program</t>
  </si>
  <si>
    <t xml:space="preserve">Admin Setup &gt; Training Programs. Add, edit, and delete a program row.</t>
  </si>
  <si>
    <t xml:space="preserve">All three actions succeed and persist after refresh.</t>
  </si>
  <si>
    <t xml:space="preserve">Security: Admin Setup - Instructor Roles</t>
  </si>
  <si>
    <t xml:space="preserve">Add/edit/delete an instructor role</t>
  </si>
  <si>
    <t xml:space="preserve">Admin Setup &gt; Instructor Roles. Add, edit, delete a role.</t>
  </si>
  <si>
    <t xml:space="preserve">Security: Admin Setup - Sortie Types</t>
  </si>
  <si>
    <t xml:space="preserve">Add/edit/delete a sortie type</t>
  </si>
  <si>
    <t xml:space="preserve">Admin Setup &gt; Sortie Types. Add, edit, delete a sortie type, including its color.</t>
  </si>
  <si>
    <t xml:space="preserve">All three actions succeed; color change reflects on the Schedule Board.</t>
  </si>
  <si>
    <t xml:space="preserve">Security: Admin Setup - Ground School</t>
  </si>
  <si>
    <t xml:space="preserve">Add/edit/delete a ground school subject</t>
  </si>
  <si>
    <t xml:space="preserve">Admin Setup &gt; Ground School. Add, edit, delete a subject.</t>
  </si>
  <si>
    <t xml:space="preserve">Security: Admin Setup - Requirements</t>
  </si>
  <si>
    <t xml:space="preserve">Add/edit/delete a requirement template</t>
  </si>
  <si>
    <t xml:space="preserve">Admin Setup &gt; Requirements. Add, edit, delete a requirement template row for a program.</t>
  </si>
  <si>
    <t xml:space="preserve">Security: Admin Setup - Holidays</t>
  </si>
  <si>
    <t xml:space="preserve">Add/edit/delete a holiday (single + recurring)</t>
  </si>
  <si>
    <t xml:space="preserve">Admin Setup &gt; Holiday Calendar. Add a one-time holiday, add a recurring holiday, edit one, delete one.</t>
  </si>
  <si>
    <t xml:space="preserve">All actions succeed; recurring holiday blocks the same month/day in a future year.</t>
  </si>
  <si>
    <t xml:space="preserve">Security: Admin Setup - Aircraft</t>
  </si>
  <si>
    <t xml:space="preserve">Add/edit/delete an aircraft via Admin Setup</t>
  </si>
  <si>
    <t xml:space="preserve">Admin Setup &gt; Aircraft Fleet tab. Add a new aircraft, edit hobbs/fuel/next-maintenance fields, delete it.</t>
  </si>
  <si>
    <t xml:space="preserve">All fields save correctly (this tab now posts through /api/aircraft, not directly to Supabase).</t>
  </si>
  <si>
    <t xml:space="preserve">Security: IDOR fix</t>
  </si>
  <si>
    <t xml:space="preserve">Student cannot view another student's progress via URL</t>
  </si>
  <si>
    <t xml:space="preserve">Log in as a student. Manually edit the URL to /dashboard/ground-school/progress?student=&lt;a different student's UUID&gt;.</t>
  </si>
  <si>
    <t xml:space="preserve">Page shows YOUR OWN progress data, not the other student's — the URL parameter is ignored for student logins.</t>
  </si>
  <si>
    <t xml:space="preserve">Staff can still view any student's progress via URL</t>
  </si>
  <si>
    <t xml:space="preserve">Log in as instructor/admin. Navigate to /dashboard/ground-school/progress?student=&lt;a student UUID&gt;.</t>
  </si>
  <si>
    <t xml:space="preserve">Page correctly shows that student's progress — staff roles are unaffected by the fix.</t>
  </si>
  <si>
    <t xml:space="preserve">Security: Direct Exam Entry</t>
  </si>
  <si>
    <t xml:space="preserve">Direct exam entry still records correctly</t>
  </si>
  <si>
    <t xml:space="preserve">As staff, Ground School &gt; Progress &gt; pick a student &gt; 'Mark as Completed' (Direct Exam Entry). Enter roll number and score, submit.</t>
  </si>
  <si>
    <t xml:space="preserve">Roll number, score, and EXEMPTED result are recorded correctly on the student's ground school record.</t>
  </si>
  <si>
    <t xml:space="preserve">Security: negative test</t>
  </si>
  <si>
    <t xml:space="preserve">Non-super_admin is rejected by the config route</t>
  </si>
  <si>
    <t xml:space="preserve">Log in as a non-super_admin role (e.g. instructor). Attempt to call /api/admin/config/exercises directly (e.g. via browser dev tools fetch, or just confirm the Admin Setup tabs are inaccessible to this role in the UI).</t>
  </si>
  <si>
    <t xml:space="preserve">Request is rejected (403) / tabs are not accessible — non-super_admin cannot write to any of the 7 config tables.</t>
  </si>
  <si>
    <t xml:space="preserve">Extra non-whitelisted field is silently dropped, not written</t>
  </si>
  <si>
    <t xml:space="preserve">If comfortable with browser dev tools: POST to /api/admin/config/exercises with an extra field not in the allowed column list (e.g. is_active plus a bogus field).</t>
  </si>
  <si>
    <t xml:space="preserve">The extra field is dropped, not written to the database; the whitelisted fields still save correctly. (Skip this case if not comfortable with dev tools — flag as Blocked.)</t>
  </si>
  <si>
    <t xml:space="preserve">Accessibility: Escape-to-close</t>
  </si>
  <si>
    <t xml:space="preserve">Escape closes every modal (test each one)</t>
  </si>
  <si>
    <t xml:space="preserve">Open each of these modals one at a time and press Escape: Student Form, Instructor Form, Aircraft Form, Booking Form, Flight Record Form, Debrief Form, Flight Detail Modal, Maintenance Form, Availability Form, Fuel Log Form, User Permissions Modal, User Edit Modal, Requirements Checklist's DGCA/SPL modals, Ground School Calendar's class modal, Direct Exam Entry modal.</t>
  </si>
  <si>
    <t xml:space="preserve">Every modal closes when Escape is pressed, with no console errors.</t>
  </si>
  <si>
    <t xml:space="preserve">Accessibility: Close button labels</t>
  </si>
  <si>
    <t xml:space="preserve">Close (X) buttons announce correctly</t>
  </si>
  <si>
    <t xml:space="preserve">Tab to each modal's X Close button using keyboard only, or inspect with browser dev tools accessibility panel (right-click &gt; Inspect &gt; Accessibility).</t>
  </si>
  <si>
    <t xml:space="preserve">Each Close button has an accessible name of 'Close' (aria-label), not blank or just an icon.</t>
  </si>
  <si>
    <t xml:space="preserve">P1</t>
  </si>
  <si>
    <t xml:space="preserve">SPL/CPL auto-expiry</t>
  </si>
  <si>
    <t xml:space="preserve">Student SPL Issue Date auto-fills Expiry Date</t>
  </si>
  <si>
    <t xml:space="preserve">Add/edit a student. Set SPL Issue Date to a real date.</t>
  </si>
  <si>
    <t xml:space="preserve">SPL Expiry Date auto-fills to Issue Date + 10 years and shows the green 'Auto-generated' hint.</t>
  </si>
  <si>
    <t xml:space="preserve">Manually edited Expiry Date is not overwritten</t>
  </si>
  <si>
    <t xml:space="preserve">With the auto-filled SPL Expiry Date from the case above, manually change the Expiry Date to a different value, then change the Issue Date again.</t>
  </si>
  <si>
    <t xml:space="preserve">Expiry Date keeps your manually entered value — it is NOT recomputed after being touched.</t>
  </si>
  <si>
    <t xml:space="preserve">Instructor CPL Issue/Expiry Date same behavior</t>
  </si>
  <si>
    <t xml:space="preserve">Repeat both cases above for an Instructor's CPL Issue Date / Expiry Date.</t>
  </si>
  <si>
    <t xml:space="preserve">Same auto-fill and 'stays put once touched' behavior as the student SPL fields.</t>
  </si>
  <si>
    <t xml:space="preserve">SPL/CPL expiry alerts</t>
  </si>
  <si>
    <t xml:space="preserve">Expiry badge shows correct color on Student Card</t>
  </si>
  <si>
    <t xml:space="preserve">Set a student's SPL Expiry Date to: (a) more than 30 days out, (b) within 30 days, (c) within 5 days, (d) in the past. Check their Student Card each time.</t>
  </si>
  <si>
    <t xml:space="preserve">Badge shows: (a) green/ok, (b) amber/warning, (c) red/critical, (d) red/expired — matching the medical-expiry badge's color scheme.</t>
  </si>
  <si>
    <t xml:space="preserve">Expiry badge shows correct color on Instructor Card</t>
  </si>
  <si>
    <t xml:space="preserve">Repeat the same 4 date scenarios for an Instructor's CPL Expiry Date, checking their Instructor Card.</t>
  </si>
  <si>
    <t xml:space="preserve">Same 4-state badge coloring appears on the Instructor Card (this UI did not exist before this feature).</t>
  </si>
  <si>
    <t xml:space="preserve">Email notification includes new SPL/CPL checks</t>
  </si>
  <si>
    <t xml:space="preserve">With at least one SPL/CPL record expiring within 30 days or already expired, manually trigger /api/cron/check-notifications (needs the CRON_SECRET — ask if you don't have it).</t>
  </si>
  <si>
    <t xml:space="preserve">The JSON response's notifications array includes the new SPL/CPL lines, and an alert email arrives at the admin/super_admin recipients.</t>
  </si>
  <si>
    <t xml:space="preserve">Sidebar navigation</t>
  </si>
  <si>
    <t xml:space="preserve">Instructors link no longer co-highlights My Students</t>
  </si>
  <si>
    <t xml:space="preserve">Log in as staff. Click 'Instructors' in the sidebar.</t>
  </si>
  <si>
    <t xml:space="preserve">Only 'Instructors' is highlighted — 'My Students' does not also light up.</t>
  </si>
  <si>
    <t xml:space="preserve">BA Test Register link opens the correct page</t>
  </si>
  <si>
    <t xml:space="preserve">Click 'BA Test Register' in the sidebar (now positioned above 'Reports').</t>
  </si>
  <si>
    <t xml:space="preserve">Opens the original data-entry register page (single-day add/edit/delete), unchanged.</t>
  </si>
  <si>
    <t xml:space="preserve">Breath Analysis Report</t>
  </si>
  <si>
    <t xml:space="preserve">Daily/Weekly/Monthly toggle works</t>
  </si>
  <si>
    <t xml:space="preserve">Reports &gt; 'Breath Analysis Report' card. Toggle between Daily, Weekly, and Monthly views, picking a date/week/month each time.</t>
  </si>
  <si>
    <t xml:space="preserve">The row range and summary tiles (Total Tests, Positive, Nil, Students Tested, Instructors Tested) update correctly for each period.</t>
  </si>
  <si>
    <t xml:space="preserve">Excel/CSV export works</t>
  </si>
  <si>
    <t xml:space="preserve">On the Breath Analysis Report page, click Export Excel/CSV for the currently selected period.</t>
  </si>
  <si>
    <t xml:space="preserve">Downloads a file with the correct rows/columns for that period.</t>
  </si>
  <si>
    <t xml:space="preserve">PDF export works</t>
  </si>
  <si>
    <t xml:space="preserve">On the Breath Analysis Report page, click Export PDF.</t>
  </si>
  <si>
    <t xml:space="preserve">Downloads a readable PDF with header, table, and summary matching what's on screen.</t>
  </si>
  <si>
    <t xml:space="preserve">Training programs</t>
  </si>
  <si>
    <t xml:space="preserve">MULTI student target-hours consistency</t>
  </si>
  <si>
    <t xml:space="preserve">Find or create a student on the MULTI training program. Check their target hours on: the Dashboard widget, the Progress page, and the Instructor dashboard.</t>
  </si>
  <si>
    <t xml:space="preserve">All three show the same target-hour figures for that student — no mismatch between the three views.</t>
  </si>
  <si>
    <t xml:space="preserve">Instructor CPL enforcement</t>
  </si>
  <si>
    <t xml:space="preserve">Blank CPL number is rejected</t>
  </si>
  <si>
    <t xml:space="preserve">Try to create or edit an instructor with a blank License Number field.</t>
  </si>
  <si>
    <t xml:space="preserve">Client-side validation blocks the save with a clear message (server-side also rejects it if tested via a direct API call).</t>
  </si>
  <si>
    <t xml:space="preserve">P2</t>
  </si>
  <si>
    <t xml:space="preserve">Permission overrides</t>
  </si>
  <si>
    <t xml:space="preserve">Per-user module override grants extra access</t>
  </si>
  <si>
    <t xml:space="preserve">As super_admin, Admin Setup &gt; User Management &gt; 'Edit Permissions' on a maintenance/operations/instructor user. Grant Full Access to a module they can't normally see (e.g. Instructors).</t>
  </si>
  <si>
    <t xml:space="preserve">Log in as that user — the module now appears in their nav with full Add/Edit/Remove access.</t>
  </si>
  <si>
    <t xml:space="preserve">Override count badge and revoke work</t>
  </si>
  <si>
    <t xml:space="preserve">After granting an override above, check the 'Edit Permissions' badge shows the correct count. Then revoke it (set back to Default).</t>
  </si>
  <si>
    <t xml:space="preserve">Badge count is accurate; after revoking, the user's access reverts to their role's normal default on next action.</t>
  </si>
  <si>
    <t xml:space="preserve">Role/tab access matrix</t>
  </si>
  <si>
    <t xml:space="preserve">Each of the 6 roles sees only their allowed nav items</t>
  </si>
  <si>
    <t xml:space="preserve">Log in as student, instructor, admin/super_admin, operations, maintenance in turn. Check the sidebar.</t>
  </si>
  <si>
    <t xml:space="preserve">Each role's sidebar shows only the modules that role should see.</t>
  </si>
  <si>
    <t xml:space="preserve">operations cannot edit/delete a student</t>
  </si>
  <si>
    <t xml:space="preserve">Log in as operations. Open a student record.</t>
  </si>
  <si>
    <t xml:space="preserve">Edit and Remove controls are not available (view-only).</t>
  </si>
  <si>
    <t xml:space="preserve">Booking rules</t>
  </si>
  <si>
    <t xml:space="preserve">Sub-45-minute and non-15-minute-increment bookings are rejected</t>
  </si>
  <si>
    <t xml:space="preserve">Try to book a flight under 45 minutes, then try 50 minutes (not a 15-min increment).</t>
  </si>
  <si>
    <t xml:space="preserve">Both rejected with a clear message.</t>
  </si>
  <si>
    <t xml:space="preserve">Low-fuel buffer enforced</t>
  </si>
  <si>
    <t xml:space="preserve">Set an aircraft's current fuel at or below 50L and attempt a booking.</t>
  </si>
  <si>
    <t xml:space="preserve">Extra 15-minute fueling buffer is enforced on top of the normal turnaround gap.</t>
  </si>
  <si>
    <t xml:space="preserve">Safety Officer setup</t>
  </si>
  <si>
    <t xml:space="preserve">Safety Officer user exists and works</t>
  </si>
  <si>
    <t xml:space="preserve">Admin Setup &gt; User Management — confirm a Safety Officer role user exists (previously reported as 'Dummy Safety Officer' but never re-verified). If missing, create one.</t>
  </si>
  <si>
    <t xml:space="preserve">At least one active Safety Officer user exists and can log in / be selected in the BA Test Register form.</t>
  </si>
  <si>
    <t xml:space="preserve">Pre-Handover Test Plan — Summary</t>
  </si>
  <si>
    <t xml:space="preserve">Total test cases</t>
  </si>
  <si>
    <t xml:space="preserve">P0 cases (security/accessibility, live untested)</t>
  </si>
  <si>
    <t xml:space="preserve">P1 cases (recent features)</t>
  </si>
  <si>
    <t xml:space="preserve">P2 cases (older backlog)</t>
  </si>
  <si>
    <t xml:space="preserve">Passed</t>
  </si>
  <si>
    <t xml:space="preserve">Failed</t>
  </si>
  <si>
    <t xml:space="preserve">Blocked</t>
  </si>
  <si>
    <t xml:space="preserve">N/A</t>
  </si>
  <si>
    <t xml:space="preserve">Not yet run</t>
  </si>
  <si>
    <t xml:space="preserve">P0 cases still not Pass</t>
  </si>
  <si>
    <t xml:space="preserve">Do not hand off to external testers while 'P0 cases still not Pass' is above 0.</t>
  </si>
</sst>
</file>

<file path=xl/styles.xml><?xml version="1.0" encoding="utf-8"?>
<styleSheet xmlns="http://schemas.openxmlformats.org/spreadsheetml/2006/main">
  <numFmts count="2">
    <numFmt numFmtId="164" formatCode="General"/>
    <numFmt numFmtId="165" formatCode="General"/>
  </numFmts>
  <fonts count="14">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sz val="11"/>
      <color rgb="FF000000"/>
      <name val="Arial"/>
      <family val="0"/>
      <charset val="1"/>
    </font>
    <font>
      <b val="true"/>
      <sz val="11"/>
      <color rgb="FF000000"/>
      <name val="Arial"/>
      <family val="0"/>
      <charset val="1"/>
    </font>
    <font>
      <b val="true"/>
      <sz val="11"/>
      <color rgb="FFFFFFFF"/>
      <name val="Arial"/>
      <family val="0"/>
      <charset val="1"/>
    </font>
    <font>
      <sz val="10"/>
      <name val="Arial"/>
      <family val="0"/>
      <charset val="1"/>
    </font>
    <font>
      <b val="true"/>
      <sz val="10"/>
      <name val="Arial"/>
      <family val="0"/>
      <charset val="1"/>
    </font>
    <font>
      <b val="true"/>
      <sz val="14"/>
      <color rgb="FF1F3864"/>
      <name val="Arial"/>
      <family val="0"/>
      <charset val="1"/>
    </font>
    <font>
      <b val="true"/>
      <sz val="11"/>
      <name val="Arial"/>
      <family val="0"/>
      <charset val="1"/>
    </font>
    <font>
      <sz val="11"/>
      <name val="Arial"/>
      <family val="0"/>
      <charset val="1"/>
    </font>
    <font>
      <i val="true"/>
      <sz val="11"/>
      <color rgb="FFC00000"/>
      <name val="Arial"/>
      <family val="0"/>
      <charset val="1"/>
    </font>
  </fonts>
  <fills count="6">
    <fill>
      <patternFill patternType="none"/>
    </fill>
    <fill>
      <patternFill patternType="gray125"/>
    </fill>
    <fill>
      <patternFill patternType="solid">
        <fgColor rgb="FF1F3864"/>
        <bgColor rgb="FF333333"/>
      </patternFill>
    </fill>
    <fill>
      <patternFill patternType="solid">
        <fgColor rgb="FFF8CBAD"/>
        <bgColor rgb="FFFFE699"/>
      </patternFill>
    </fill>
    <fill>
      <patternFill patternType="solid">
        <fgColor rgb="FFFFE699"/>
        <bgColor rgb="FFF8CBAD"/>
      </patternFill>
    </fill>
    <fill>
      <patternFill patternType="solid">
        <fgColor rgb="FFD9E1F2"/>
        <bgColor rgb="FFCC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9" fillId="5"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true" applyProtection="false">
      <alignment horizontal="center"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D9E1F2"/>
          <bgColor rgb="FF000000"/>
        </patternFill>
      </fill>
    </dxf>
    <dxf>
      <fill>
        <patternFill patternType="solid">
          <fgColor rgb="FFF8CBAD"/>
          <bgColor rgb="FF000000"/>
        </patternFill>
      </fill>
    </dxf>
    <dxf>
      <fill>
        <patternFill patternType="solid">
          <fgColor rgb="FFFFE699"/>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E699"/>
      <rgbColor rgb="FF99CCFF"/>
      <rgbColor rgb="FFFF99CC"/>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1" customFormat="false" ht="19.7" hidden="false" customHeight="false" outlineLevel="0" collapsed="false">
      <c r="A1" s="1" t="s">
        <v>0</v>
      </c>
    </row>
    <row r="3" customFormat="false" ht="39.55" hidden="false" customHeight="false" outlineLevel="0" collapsed="false">
      <c r="A3" s="2" t="s">
        <v>1</v>
      </c>
    </row>
    <row r="5" customFormat="false" ht="64.9" hidden="false" customHeight="false" outlineLevel="0" collapsed="false">
      <c r="A5" s="3" t="s">
        <v>2</v>
      </c>
    </row>
    <row r="7" customFormat="false" ht="15" hidden="false" customHeight="false" outlineLevel="0" collapsed="false">
      <c r="A7" s="2" t="s">
        <v>3</v>
      </c>
    </row>
    <row r="8" customFormat="false" ht="15" hidden="false" customHeight="false" outlineLevel="0" collapsed="false">
      <c r="A8" s="2" t="s">
        <v>4</v>
      </c>
    </row>
    <row r="9" customFormat="false" ht="26.85" hidden="false" customHeight="false" outlineLevel="0" collapsed="false">
      <c r="A9" s="2" t="s">
        <v>5</v>
      </c>
    </row>
    <row r="10" customFormat="false" ht="26.85" hidden="false" customHeight="false" outlineLevel="0" collapsed="false">
      <c r="A10" s="2" t="s">
        <v>6</v>
      </c>
    </row>
    <row r="12" customFormat="false" ht="15" hidden="false" customHeight="false" outlineLevel="0" collapsed="false">
      <c r="A12" s="2" t="s">
        <v>7</v>
      </c>
    </row>
    <row r="13" customFormat="false" ht="26.85" hidden="false" customHeight="false" outlineLevel="0" collapsed="false">
      <c r="A13" s="2" t="s">
        <v>8</v>
      </c>
    </row>
    <row r="14" customFormat="false" ht="15" hidden="false" customHeight="false" outlineLevel="0" collapsed="false">
      <c r="A14" s="2" t="s">
        <v>9</v>
      </c>
    </row>
    <row r="15" customFormat="false" ht="26.85" hidden="false" customHeight="false" outlineLevel="0" collapsed="false">
      <c r="A15" s="2" t="s">
        <v>10</v>
      </c>
    </row>
    <row r="17" customFormat="false" ht="15" hidden="false" customHeight="false" outlineLevel="0" collapsed="false">
      <c r="A17" s="2" t="s">
        <v>11</v>
      </c>
    </row>
    <row r="18" customFormat="false" ht="26.85" hidden="false" customHeight="false" outlineLevel="0" collapsed="false">
      <c r="A18" s="2" t="s">
        <v>12</v>
      </c>
    </row>
    <row r="20" customFormat="false" ht="15" hidden="false" customHeight="false" outlineLevel="0" collapsed="false">
      <c r="A20" s="2" t="s">
        <v>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9"/>
    <col collapsed="false" customWidth="true" hidden="false" outlineLevel="0" max="3" min="3" style="0" width="24"/>
    <col collapsed="false" customWidth="true" hidden="false" outlineLevel="0" max="4" min="4" style="0" width="30"/>
    <col collapsed="false" customWidth="true" hidden="false" outlineLevel="0" max="6" min="5" style="0" width="46"/>
    <col collapsed="false" customWidth="true" hidden="false" outlineLevel="0" max="7" min="7" style="0" width="12"/>
    <col collapsed="false" customWidth="true" hidden="false" outlineLevel="0" max="8" min="8" style="0" width="30"/>
  </cols>
  <sheetData>
    <row r="1" customFormat="false" ht="24" hidden="false" customHeight="true" outlineLevel="0" collapsed="false">
      <c r="A1" s="4" t="s">
        <v>14</v>
      </c>
      <c r="B1" s="4" t="s">
        <v>15</v>
      </c>
      <c r="C1" s="4" t="s">
        <v>16</v>
      </c>
      <c r="D1" s="4" t="s">
        <v>17</v>
      </c>
      <c r="E1" s="4" t="s">
        <v>18</v>
      </c>
      <c r="F1" s="4" t="s">
        <v>19</v>
      </c>
      <c r="G1" s="4" t="s">
        <v>20</v>
      </c>
      <c r="H1" s="4" t="s">
        <v>21</v>
      </c>
    </row>
    <row r="2" customFormat="false" ht="23.85" hidden="false" customHeight="false" outlineLevel="0" collapsed="false">
      <c r="A2" s="5" t="n">
        <v>1</v>
      </c>
      <c r="B2" s="6" t="s">
        <v>22</v>
      </c>
      <c r="C2" s="5" t="s">
        <v>23</v>
      </c>
      <c r="D2" s="5" t="s">
        <v>24</v>
      </c>
      <c r="E2" s="5" t="s">
        <v>25</v>
      </c>
      <c r="F2" s="5" t="s">
        <v>26</v>
      </c>
      <c r="G2" s="5"/>
      <c r="H2" s="5"/>
    </row>
    <row r="3" customFormat="false" ht="23.85" hidden="false" customHeight="false" outlineLevel="0" collapsed="false">
      <c r="A3" s="5" t="n">
        <v>2</v>
      </c>
      <c r="B3" s="6" t="s">
        <v>22</v>
      </c>
      <c r="C3" s="5" t="s">
        <v>23</v>
      </c>
      <c r="D3" s="5" t="s">
        <v>27</v>
      </c>
      <c r="E3" s="5" t="s">
        <v>28</v>
      </c>
      <c r="F3" s="5" t="s">
        <v>29</v>
      </c>
      <c r="G3" s="5"/>
      <c r="H3" s="5"/>
    </row>
    <row r="4" customFormat="false" ht="23.85" hidden="false" customHeight="false" outlineLevel="0" collapsed="false">
      <c r="A4" s="5" t="n">
        <v>3</v>
      </c>
      <c r="B4" s="6" t="s">
        <v>22</v>
      </c>
      <c r="C4" s="5" t="s">
        <v>30</v>
      </c>
      <c r="D4" s="5" t="s">
        <v>31</v>
      </c>
      <c r="E4" s="5" t="s">
        <v>32</v>
      </c>
      <c r="F4" s="5" t="s">
        <v>33</v>
      </c>
      <c r="G4" s="5"/>
      <c r="H4" s="5"/>
    </row>
    <row r="5" customFormat="false" ht="23.85" hidden="false" customHeight="false" outlineLevel="0" collapsed="false">
      <c r="A5" s="5" t="n">
        <v>4</v>
      </c>
      <c r="B5" s="6" t="s">
        <v>22</v>
      </c>
      <c r="C5" s="5" t="s">
        <v>34</v>
      </c>
      <c r="D5" s="5" t="s">
        <v>35</v>
      </c>
      <c r="E5" s="5" t="s">
        <v>36</v>
      </c>
      <c r="F5" s="5" t="s">
        <v>33</v>
      </c>
      <c r="G5" s="5"/>
      <c r="H5" s="5"/>
    </row>
    <row r="6" customFormat="false" ht="23.85" hidden="false" customHeight="false" outlineLevel="0" collapsed="false">
      <c r="A6" s="5" t="n">
        <v>5</v>
      </c>
      <c r="B6" s="6" t="s">
        <v>22</v>
      </c>
      <c r="C6" s="5" t="s">
        <v>37</v>
      </c>
      <c r="D6" s="5" t="s">
        <v>38</v>
      </c>
      <c r="E6" s="5" t="s">
        <v>39</v>
      </c>
      <c r="F6" s="5" t="s">
        <v>40</v>
      </c>
      <c r="G6" s="5"/>
      <c r="H6" s="5"/>
    </row>
    <row r="7" customFormat="false" ht="23.85" hidden="false" customHeight="false" outlineLevel="0" collapsed="false">
      <c r="A7" s="5" t="n">
        <v>6</v>
      </c>
      <c r="B7" s="6" t="s">
        <v>22</v>
      </c>
      <c r="C7" s="5" t="s">
        <v>41</v>
      </c>
      <c r="D7" s="5" t="s">
        <v>42</v>
      </c>
      <c r="E7" s="5" t="s">
        <v>43</v>
      </c>
      <c r="F7" s="5" t="s">
        <v>33</v>
      </c>
      <c r="G7" s="5"/>
      <c r="H7" s="5"/>
    </row>
    <row r="8" customFormat="false" ht="23.85" hidden="false" customHeight="false" outlineLevel="0" collapsed="false">
      <c r="A8" s="5" t="n">
        <v>7</v>
      </c>
      <c r="B8" s="6" t="s">
        <v>22</v>
      </c>
      <c r="C8" s="5" t="s">
        <v>44</v>
      </c>
      <c r="D8" s="5" t="s">
        <v>45</v>
      </c>
      <c r="E8" s="5" t="s">
        <v>46</v>
      </c>
      <c r="F8" s="5" t="s">
        <v>33</v>
      </c>
      <c r="G8" s="5"/>
      <c r="H8" s="5"/>
    </row>
    <row r="9" customFormat="false" ht="23.85" hidden="false" customHeight="false" outlineLevel="0" collapsed="false">
      <c r="A9" s="5" t="n">
        <v>8</v>
      </c>
      <c r="B9" s="6" t="s">
        <v>22</v>
      </c>
      <c r="C9" s="5" t="s">
        <v>47</v>
      </c>
      <c r="D9" s="5" t="s">
        <v>48</v>
      </c>
      <c r="E9" s="5" t="s">
        <v>49</v>
      </c>
      <c r="F9" s="5" t="s">
        <v>50</v>
      </c>
      <c r="G9" s="5"/>
      <c r="H9" s="5"/>
    </row>
    <row r="10" customFormat="false" ht="23.85" hidden="false" customHeight="false" outlineLevel="0" collapsed="false">
      <c r="A10" s="5" t="n">
        <v>9</v>
      </c>
      <c r="B10" s="6" t="s">
        <v>22</v>
      </c>
      <c r="C10" s="5" t="s">
        <v>51</v>
      </c>
      <c r="D10" s="5" t="s">
        <v>52</v>
      </c>
      <c r="E10" s="5" t="s">
        <v>53</v>
      </c>
      <c r="F10" s="5" t="s">
        <v>54</v>
      </c>
      <c r="G10" s="5"/>
      <c r="H10" s="5"/>
    </row>
    <row r="11" customFormat="false" ht="35.05" hidden="false" customHeight="false" outlineLevel="0" collapsed="false">
      <c r="A11" s="5" t="n">
        <v>10</v>
      </c>
      <c r="B11" s="6" t="s">
        <v>22</v>
      </c>
      <c r="C11" s="5" t="s">
        <v>55</v>
      </c>
      <c r="D11" s="5" t="s">
        <v>56</v>
      </c>
      <c r="E11" s="5" t="s">
        <v>57</v>
      </c>
      <c r="F11" s="5" t="s">
        <v>58</v>
      </c>
      <c r="G11" s="5"/>
      <c r="H11" s="5"/>
    </row>
    <row r="12" customFormat="false" ht="35.05" hidden="false" customHeight="false" outlineLevel="0" collapsed="false">
      <c r="A12" s="5" t="n">
        <v>11</v>
      </c>
      <c r="B12" s="6" t="s">
        <v>22</v>
      </c>
      <c r="C12" s="5" t="s">
        <v>55</v>
      </c>
      <c r="D12" s="5" t="s">
        <v>59</v>
      </c>
      <c r="E12" s="5" t="s">
        <v>60</v>
      </c>
      <c r="F12" s="5" t="s">
        <v>61</v>
      </c>
      <c r="G12" s="5"/>
      <c r="H12" s="5"/>
    </row>
    <row r="13" customFormat="false" ht="35.05" hidden="false" customHeight="false" outlineLevel="0" collapsed="false">
      <c r="A13" s="5" t="n">
        <v>12</v>
      </c>
      <c r="B13" s="6" t="s">
        <v>22</v>
      </c>
      <c r="C13" s="5" t="s">
        <v>62</v>
      </c>
      <c r="D13" s="5" t="s">
        <v>63</v>
      </c>
      <c r="E13" s="5" t="s">
        <v>64</v>
      </c>
      <c r="F13" s="5" t="s">
        <v>65</v>
      </c>
      <c r="G13" s="5"/>
      <c r="H13" s="5"/>
    </row>
    <row r="14" customFormat="false" ht="46.25" hidden="false" customHeight="false" outlineLevel="0" collapsed="false">
      <c r="A14" s="5" t="n">
        <v>13</v>
      </c>
      <c r="B14" s="6" t="s">
        <v>22</v>
      </c>
      <c r="C14" s="5" t="s">
        <v>66</v>
      </c>
      <c r="D14" s="5" t="s">
        <v>67</v>
      </c>
      <c r="E14" s="5" t="s">
        <v>68</v>
      </c>
      <c r="F14" s="5" t="s">
        <v>69</v>
      </c>
      <c r="G14" s="5"/>
      <c r="H14" s="5"/>
    </row>
    <row r="15" customFormat="false" ht="35.05" hidden="false" customHeight="false" outlineLevel="0" collapsed="false">
      <c r="A15" s="5" t="n">
        <v>14</v>
      </c>
      <c r="B15" s="6" t="s">
        <v>22</v>
      </c>
      <c r="C15" s="5" t="s">
        <v>66</v>
      </c>
      <c r="D15" s="5" t="s">
        <v>70</v>
      </c>
      <c r="E15" s="5" t="s">
        <v>71</v>
      </c>
      <c r="F15" s="5" t="s">
        <v>72</v>
      </c>
      <c r="G15" s="5"/>
      <c r="H15" s="5"/>
    </row>
    <row r="16" customFormat="false" ht="91" hidden="false" customHeight="false" outlineLevel="0" collapsed="false">
      <c r="A16" s="5" t="n">
        <v>15</v>
      </c>
      <c r="B16" s="6" t="s">
        <v>22</v>
      </c>
      <c r="C16" s="5" t="s">
        <v>73</v>
      </c>
      <c r="D16" s="5" t="s">
        <v>74</v>
      </c>
      <c r="E16" s="5" t="s">
        <v>75</v>
      </c>
      <c r="F16" s="5" t="s">
        <v>76</v>
      </c>
      <c r="G16" s="5"/>
      <c r="H16" s="5"/>
    </row>
    <row r="17" customFormat="false" ht="35.05" hidden="false" customHeight="false" outlineLevel="0" collapsed="false">
      <c r="A17" s="5" t="n">
        <v>16</v>
      </c>
      <c r="B17" s="6" t="s">
        <v>22</v>
      </c>
      <c r="C17" s="5" t="s">
        <v>77</v>
      </c>
      <c r="D17" s="5" t="s">
        <v>78</v>
      </c>
      <c r="E17" s="5" t="s">
        <v>79</v>
      </c>
      <c r="F17" s="5" t="s">
        <v>80</v>
      </c>
      <c r="G17" s="5"/>
      <c r="H17" s="5"/>
    </row>
    <row r="18" customFormat="false" ht="23.85" hidden="false" customHeight="false" outlineLevel="0" collapsed="false">
      <c r="A18" s="5" t="n">
        <v>17</v>
      </c>
      <c r="B18" s="7" t="s">
        <v>81</v>
      </c>
      <c r="C18" s="5" t="s">
        <v>82</v>
      </c>
      <c r="D18" s="5" t="s">
        <v>83</v>
      </c>
      <c r="E18" s="5" t="s">
        <v>84</v>
      </c>
      <c r="F18" s="5" t="s">
        <v>85</v>
      </c>
      <c r="G18" s="5"/>
      <c r="H18" s="5"/>
    </row>
    <row r="19" customFormat="false" ht="35.05" hidden="false" customHeight="false" outlineLevel="0" collapsed="false">
      <c r="A19" s="5" t="n">
        <v>18</v>
      </c>
      <c r="B19" s="7" t="s">
        <v>81</v>
      </c>
      <c r="C19" s="5" t="s">
        <v>82</v>
      </c>
      <c r="D19" s="5" t="s">
        <v>86</v>
      </c>
      <c r="E19" s="5" t="s">
        <v>87</v>
      </c>
      <c r="F19" s="5" t="s">
        <v>88</v>
      </c>
      <c r="G19" s="5"/>
      <c r="H19" s="5"/>
    </row>
    <row r="20" customFormat="false" ht="23.85" hidden="false" customHeight="false" outlineLevel="0" collapsed="false">
      <c r="A20" s="5" t="n">
        <v>19</v>
      </c>
      <c r="B20" s="7" t="s">
        <v>81</v>
      </c>
      <c r="C20" s="5" t="s">
        <v>82</v>
      </c>
      <c r="D20" s="5" t="s">
        <v>89</v>
      </c>
      <c r="E20" s="5" t="s">
        <v>90</v>
      </c>
      <c r="F20" s="5" t="s">
        <v>91</v>
      </c>
      <c r="G20" s="5"/>
      <c r="H20" s="5"/>
    </row>
    <row r="21" customFormat="false" ht="35.05" hidden="false" customHeight="false" outlineLevel="0" collapsed="false">
      <c r="A21" s="5" t="n">
        <v>20</v>
      </c>
      <c r="B21" s="7" t="s">
        <v>81</v>
      </c>
      <c r="C21" s="5" t="s">
        <v>92</v>
      </c>
      <c r="D21" s="5" t="s">
        <v>93</v>
      </c>
      <c r="E21" s="5" t="s">
        <v>94</v>
      </c>
      <c r="F21" s="5" t="s">
        <v>95</v>
      </c>
      <c r="G21" s="5"/>
      <c r="H21" s="5"/>
    </row>
    <row r="22" customFormat="false" ht="23.85" hidden="false" customHeight="false" outlineLevel="0" collapsed="false">
      <c r="A22" s="5" t="n">
        <v>21</v>
      </c>
      <c r="B22" s="7" t="s">
        <v>81</v>
      </c>
      <c r="C22" s="5" t="s">
        <v>92</v>
      </c>
      <c r="D22" s="5" t="s">
        <v>96</v>
      </c>
      <c r="E22" s="5" t="s">
        <v>97</v>
      </c>
      <c r="F22" s="5" t="s">
        <v>98</v>
      </c>
      <c r="G22" s="5"/>
      <c r="H22" s="5"/>
    </row>
    <row r="23" customFormat="false" ht="46.25" hidden="false" customHeight="false" outlineLevel="0" collapsed="false">
      <c r="A23" s="5" t="n">
        <v>22</v>
      </c>
      <c r="B23" s="7" t="s">
        <v>81</v>
      </c>
      <c r="C23" s="5" t="s">
        <v>92</v>
      </c>
      <c r="D23" s="5" t="s">
        <v>99</v>
      </c>
      <c r="E23" s="5" t="s">
        <v>100</v>
      </c>
      <c r="F23" s="5" t="s">
        <v>101</v>
      </c>
      <c r="G23" s="5"/>
      <c r="H23" s="5"/>
    </row>
    <row r="24" customFormat="false" ht="23.85" hidden="false" customHeight="false" outlineLevel="0" collapsed="false">
      <c r="A24" s="5" t="n">
        <v>23</v>
      </c>
      <c r="B24" s="7" t="s">
        <v>81</v>
      </c>
      <c r="C24" s="5" t="s">
        <v>102</v>
      </c>
      <c r="D24" s="5" t="s">
        <v>103</v>
      </c>
      <c r="E24" s="5" t="s">
        <v>104</v>
      </c>
      <c r="F24" s="5" t="s">
        <v>105</v>
      </c>
      <c r="G24" s="5"/>
      <c r="H24" s="5"/>
    </row>
    <row r="25" customFormat="false" ht="23.85" hidden="false" customHeight="false" outlineLevel="0" collapsed="false">
      <c r="A25" s="5" t="n">
        <v>24</v>
      </c>
      <c r="B25" s="7" t="s">
        <v>81</v>
      </c>
      <c r="C25" s="5" t="s">
        <v>102</v>
      </c>
      <c r="D25" s="5" t="s">
        <v>106</v>
      </c>
      <c r="E25" s="5" t="s">
        <v>107</v>
      </c>
      <c r="F25" s="5" t="s">
        <v>108</v>
      </c>
      <c r="G25" s="5"/>
      <c r="H25" s="5"/>
    </row>
    <row r="26" customFormat="false" ht="35.05" hidden="false" customHeight="false" outlineLevel="0" collapsed="false">
      <c r="A26" s="5" t="n">
        <v>25</v>
      </c>
      <c r="B26" s="7" t="s">
        <v>81</v>
      </c>
      <c r="C26" s="5" t="s">
        <v>109</v>
      </c>
      <c r="D26" s="5" t="s">
        <v>110</v>
      </c>
      <c r="E26" s="5" t="s">
        <v>111</v>
      </c>
      <c r="F26" s="5" t="s">
        <v>112</v>
      </c>
      <c r="G26" s="5"/>
      <c r="H26" s="5"/>
    </row>
    <row r="27" customFormat="false" ht="23.85" hidden="false" customHeight="false" outlineLevel="0" collapsed="false">
      <c r="A27" s="5" t="n">
        <v>26</v>
      </c>
      <c r="B27" s="7" t="s">
        <v>81</v>
      </c>
      <c r="C27" s="5" t="s">
        <v>109</v>
      </c>
      <c r="D27" s="5" t="s">
        <v>113</v>
      </c>
      <c r="E27" s="5" t="s">
        <v>114</v>
      </c>
      <c r="F27" s="5" t="s">
        <v>115</v>
      </c>
      <c r="G27" s="5"/>
      <c r="H27" s="5"/>
    </row>
    <row r="28" customFormat="false" ht="23.85" hidden="false" customHeight="false" outlineLevel="0" collapsed="false">
      <c r="A28" s="5" t="n">
        <v>27</v>
      </c>
      <c r="B28" s="7" t="s">
        <v>81</v>
      </c>
      <c r="C28" s="5" t="s">
        <v>109</v>
      </c>
      <c r="D28" s="5" t="s">
        <v>116</v>
      </c>
      <c r="E28" s="5" t="s">
        <v>117</v>
      </c>
      <c r="F28" s="5" t="s">
        <v>118</v>
      </c>
      <c r="G28" s="5"/>
      <c r="H28" s="5"/>
    </row>
    <row r="29" customFormat="false" ht="35.05" hidden="false" customHeight="false" outlineLevel="0" collapsed="false">
      <c r="A29" s="5" t="n">
        <v>28</v>
      </c>
      <c r="B29" s="7" t="s">
        <v>81</v>
      </c>
      <c r="C29" s="5" t="s">
        <v>119</v>
      </c>
      <c r="D29" s="5" t="s">
        <v>120</v>
      </c>
      <c r="E29" s="5" t="s">
        <v>121</v>
      </c>
      <c r="F29" s="5" t="s">
        <v>122</v>
      </c>
      <c r="G29" s="5"/>
      <c r="H29" s="5"/>
    </row>
    <row r="30" customFormat="false" ht="35.05" hidden="false" customHeight="false" outlineLevel="0" collapsed="false">
      <c r="A30" s="5" t="n">
        <v>29</v>
      </c>
      <c r="B30" s="7" t="s">
        <v>81</v>
      </c>
      <c r="C30" s="5" t="s">
        <v>123</v>
      </c>
      <c r="D30" s="5" t="s">
        <v>124</v>
      </c>
      <c r="E30" s="5" t="s">
        <v>125</v>
      </c>
      <c r="F30" s="5" t="s">
        <v>126</v>
      </c>
      <c r="G30" s="5"/>
      <c r="H30" s="5"/>
    </row>
    <row r="31" customFormat="false" ht="57.45" hidden="false" customHeight="false" outlineLevel="0" collapsed="false">
      <c r="A31" s="5" t="n">
        <v>30</v>
      </c>
      <c r="B31" s="8" t="s">
        <v>127</v>
      </c>
      <c r="C31" s="5" t="s">
        <v>128</v>
      </c>
      <c r="D31" s="5" t="s">
        <v>129</v>
      </c>
      <c r="E31" s="5" t="s">
        <v>130</v>
      </c>
      <c r="F31" s="5" t="s">
        <v>131</v>
      </c>
      <c r="G31" s="5"/>
      <c r="H31" s="5"/>
    </row>
    <row r="32" customFormat="false" ht="35.05" hidden="false" customHeight="false" outlineLevel="0" collapsed="false">
      <c r="A32" s="5" t="n">
        <v>31</v>
      </c>
      <c r="B32" s="8" t="s">
        <v>127</v>
      </c>
      <c r="C32" s="5" t="s">
        <v>128</v>
      </c>
      <c r="D32" s="5" t="s">
        <v>132</v>
      </c>
      <c r="E32" s="5" t="s">
        <v>133</v>
      </c>
      <c r="F32" s="5" t="s">
        <v>134</v>
      </c>
      <c r="G32" s="5"/>
      <c r="H32" s="5"/>
    </row>
    <row r="33" customFormat="false" ht="23.85" hidden="false" customHeight="false" outlineLevel="0" collapsed="false">
      <c r="A33" s="5" t="n">
        <v>32</v>
      </c>
      <c r="B33" s="8" t="s">
        <v>127</v>
      </c>
      <c r="C33" s="5" t="s">
        <v>135</v>
      </c>
      <c r="D33" s="5" t="s">
        <v>136</v>
      </c>
      <c r="E33" s="5" t="s">
        <v>137</v>
      </c>
      <c r="F33" s="5" t="s">
        <v>138</v>
      </c>
      <c r="G33" s="5"/>
      <c r="H33" s="5"/>
    </row>
    <row r="34" customFormat="false" ht="23.85" hidden="false" customHeight="false" outlineLevel="0" collapsed="false">
      <c r="A34" s="5" t="n">
        <v>33</v>
      </c>
      <c r="B34" s="8" t="s">
        <v>127</v>
      </c>
      <c r="C34" s="5" t="s">
        <v>135</v>
      </c>
      <c r="D34" s="5" t="s">
        <v>139</v>
      </c>
      <c r="E34" s="5" t="s">
        <v>140</v>
      </c>
      <c r="F34" s="5" t="s">
        <v>141</v>
      </c>
      <c r="G34" s="5"/>
      <c r="H34" s="5"/>
    </row>
    <row r="35" customFormat="false" ht="23.85" hidden="false" customHeight="false" outlineLevel="0" collapsed="false">
      <c r="A35" s="5" t="n">
        <v>34</v>
      </c>
      <c r="B35" s="8" t="s">
        <v>127</v>
      </c>
      <c r="C35" s="5" t="s">
        <v>142</v>
      </c>
      <c r="D35" s="5" t="s">
        <v>143</v>
      </c>
      <c r="E35" s="5" t="s">
        <v>144</v>
      </c>
      <c r="F35" s="5" t="s">
        <v>145</v>
      </c>
      <c r="G35" s="5"/>
      <c r="H35" s="5"/>
    </row>
    <row r="36" customFormat="false" ht="23.85" hidden="false" customHeight="false" outlineLevel="0" collapsed="false">
      <c r="A36" s="5" t="n">
        <v>35</v>
      </c>
      <c r="B36" s="8" t="s">
        <v>127</v>
      </c>
      <c r="C36" s="5" t="s">
        <v>142</v>
      </c>
      <c r="D36" s="5" t="s">
        <v>146</v>
      </c>
      <c r="E36" s="5" t="s">
        <v>147</v>
      </c>
      <c r="F36" s="5" t="s">
        <v>148</v>
      </c>
      <c r="G36" s="5"/>
      <c r="H36" s="5"/>
    </row>
    <row r="37" customFormat="false" ht="46.25" hidden="false" customHeight="false" outlineLevel="0" collapsed="false">
      <c r="A37" s="5" t="n">
        <v>36</v>
      </c>
      <c r="B37" s="8" t="s">
        <v>127</v>
      </c>
      <c r="C37" s="5" t="s">
        <v>149</v>
      </c>
      <c r="D37" s="5" t="s">
        <v>150</v>
      </c>
      <c r="E37" s="5" t="s">
        <v>151</v>
      </c>
      <c r="F37" s="5" t="s">
        <v>152</v>
      </c>
      <c r="G37" s="5"/>
      <c r="H37" s="5"/>
    </row>
  </sheetData>
  <autoFilter ref="A1:H37"/>
  <dataValidations count="1">
    <dataValidation allowBlank="true" errorStyle="stop" operator="between" showDropDown="false" showErrorMessage="false" showInputMessage="false" sqref="G2:G37" type="list">
      <formula1>"Pass,Fail,Blocked,N/A"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4"/>
  </cols>
  <sheetData>
    <row r="1" customFormat="false" ht="17.35" hidden="false" customHeight="false" outlineLevel="0" collapsed="false">
      <c r="A1" s="9" t="s">
        <v>153</v>
      </c>
    </row>
    <row r="3" customFormat="false" ht="15" hidden="false" customHeight="false" outlineLevel="0" collapsed="false">
      <c r="A3" s="10" t="s">
        <v>154</v>
      </c>
      <c r="B3" s="11" t="n">
        <f aca="false">36</f>
        <v>36</v>
      </c>
    </row>
    <row r="4" customFormat="false" ht="15" hidden="false" customHeight="false" outlineLevel="0" collapsed="false">
      <c r="A4" s="10" t="s">
        <v>155</v>
      </c>
      <c r="B4" s="11" t="n">
        <f aca="false">COUNTIF('Test Plan'!B2:B37,"P0")</f>
        <v>16</v>
      </c>
    </row>
    <row r="5" customFormat="false" ht="15" hidden="false" customHeight="false" outlineLevel="0" collapsed="false">
      <c r="A5" s="10" t="s">
        <v>156</v>
      </c>
      <c r="B5" s="11" t="n">
        <f aca="false">COUNTIF('Test Plan'!B2:B37,"P1")</f>
        <v>13</v>
      </c>
    </row>
    <row r="6" customFormat="false" ht="15" hidden="false" customHeight="false" outlineLevel="0" collapsed="false">
      <c r="A6" s="10" t="s">
        <v>157</v>
      </c>
      <c r="B6" s="11" t="n">
        <f aca="false">COUNTIF('Test Plan'!B2:B37,"P2")</f>
        <v>7</v>
      </c>
    </row>
    <row r="7" customFormat="false" ht="15" hidden="false" customHeight="false" outlineLevel="0" collapsed="false">
      <c r="A7" s="12"/>
    </row>
    <row r="8" customFormat="false" ht="15" hidden="false" customHeight="false" outlineLevel="0" collapsed="false">
      <c r="A8" s="10" t="s">
        <v>158</v>
      </c>
      <c r="B8" s="11" t="n">
        <f aca="false">COUNTIF('Test Plan'!G2:G37,"Pass")</f>
        <v>0</v>
      </c>
    </row>
    <row r="9" customFormat="false" ht="15" hidden="false" customHeight="false" outlineLevel="0" collapsed="false">
      <c r="A9" s="10" t="s">
        <v>159</v>
      </c>
      <c r="B9" s="11" t="n">
        <f aca="false">COUNTIF('Test Plan'!G2:G37,"Fail")</f>
        <v>0</v>
      </c>
    </row>
    <row r="10" customFormat="false" ht="15" hidden="false" customHeight="false" outlineLevel="0" collapsed="false">
      <c r="A10" s="10" t="s">
        <v>160</v>
      </c>
      <c r="B10" s="11" t="n">
        <f aca="false">COUNTIF('Test Plan'!G2:G37,"Blocked")</f>
        <v>0</v>
      </c>
    </row>
    <row r="11" customFormat="false" ht="15" hidden="false" customHeight="false" outlineLevel="0" collapsed="false">
      <c r="A11" s="10" t="s">
        <v>161</v>
      </c>
      <c r="B11" s="11" t="n">
        <f aca="false">COUNTIF('Test Plan'!G2:G37,"N/A")</f>
        <v>0</v>
      </c>
    </row>
    <row r="12" customFormat="false" ht="15" hidden="false" customHeight="false" outlineLevel="0" collapsed="false">
      <c r="A12" s="10" t="s">
        <v>162</v>
      </c>
      <c r="B12" s="11" t="n">
        <f aca="false">COUNTBLANK('Test Plan'!G2:G37)</f>
        <v>36</v>
      </c>
    </row>
    <row r="13" customFormat="false" ht="15" hidden="false" customHeight="false" outlineLevel="0" collapsed="false">
      <c r="A13" s="12"/>
    </row>
    <row r="14" customFormat="false" ht="15" hidden="false" customHeight="false" outlineLevel="0" collapsed="false">
      <c r="A14" s="10" t="s">
        <v>163</v>
      </c>
      <c r="B14" s="11" t="n">
        <f aca="false">COUNTIFS('Test Plan'!B2:B37,"P0",'Test Plan'!G2:G37,"&lt;&gt;Pass")</f>
        <v>16</v>
      </c>
    </row>
    <row r="16" customFormat="false" ht="15" hidden="false" customHeight="false" outlineLevel="0" collapsed="false">
      <c r="A16" s="13" t="s">
        <v>164</v>
      </c>
      <c r="B16" s="13"/>
      <c r="C16" s="13"/>
      <c r="D16" s="13"/>
    </row>
  </sheetData>
  <mergeCells count="1">
    <mergeCell ref="A16:D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2026-08-24T20:21:10Z</dcterms:created>
  <dc:creator>openpyxl</dc:creator>
  <dc:description/>
  <dc:language>en-US</dc:language>
  <cp:lastModifiedBy/>
  <dcterms:modified xsi:type="dcterms:W3CDTF">2026-08-24T20:21:10Z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