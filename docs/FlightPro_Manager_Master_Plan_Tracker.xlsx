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ompleted" sheetId="2" state="visible" r:id="rId4"/>
    <sheet name="Pending" sheetId="3" state="visible" r:id="rId5"/>
    <sheet name="On Hold" sheetId="4" state="visible" r:id="rId6"/>
    <sheet name="New Features (Backlog)" sheetId="5" state="visible" r:id="rId7"/>
    <sheet name="Summary" sheetId="6" state="visible" r:id="rId8"/>
  </sheets>
  <definedNames>
    <definedName function="false" hidden="true" localSheetId="1" name="_xlnm._FilterDatabase" vbProcedure="false">Completed!$A$1:$E$36</definedName>
    <definedName function="false" hidden="true" localSheetId="4" name="_xlnm._FilterDatabase" vbProcedure="false">'New Features (Backlog)'!$A$1:$G$9</definedName>
    <definedName function="false" hidden="true" localSheetId="3" name="_xlnm._FilterDatabase" vbProcedure="false">'On Hold'!$A$1:$E$15</definedName>
    <definedName function="false" hidden="true" localSheetId="2" name="_xlnm._FilterDatabase" vbProcedure="false">Pending!$A$1:$E$15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<sst xmlns="http://schemas.openxmlformats.org/spreadsheetml/2006/main" count="386" uniqueCount="259">
  <si>
    <t xml:space="preserve">FlightPro Manager — Master Plan Tracker</t>
  </si>
  <si>
    <t xml:space="preserve">Purpose: one place to see everything completed, everything pending verification, everything deliberately on hold, and every not-yet-started feature — so the next piece of work can be picked with the full picture in view, not just whatever's top of mind.</t>
  </si>
  <si>
    <t xml:space="preserve">How this workbook is organized:</t>
  </si>
  <si>
    <t xml:space="preserve">  •  Completed — shipped and delivered to the real machine; the great majority is now committed, pushed, and merged into production — see the handoff doc for each item's exact git state.</t>
  </si>
  <si>
    <t xml:space="preserve">  •  Pending — code is done and live, but not yet functionally verified. The two Urgent rows are security/accessibility fixes already live on production without having been tested.</t>
  </si>
  <si>
    <t xml:space="preserve">  •  On Hold — explicitly deferred judgment calls and lower-priority findings. Nobody is actively working these; they're parked on purpose, not forgotten.</t>
  </si>
  <si>
    <t xml:space="preserve">  •  New Features (Backlog) — real candidates for what to build next. Each has an Impact and Effort rating and a short rationale to help compare them side by side.</t>
  </si>
  <si>
    <t xml:space="preserve">  •  Summary — counts per sheet and a suggested next-step ordering.</t>
  </si>
  <si>
    <t xml:space="preserve">Suggested reading order for a 'what's next' conversation: check Pending first (two Urgent rows are live-on-production-untested and should happen before any new feature work), then compare the New Features sheet's Impact/Effort columns to pick the next build.</t>
  </si>
  <si>
    <t xml:space="preserve">Source: compiled from the project's handoff doc (the authoritative running log, most recently claude/handoff-2026-08-27.md) as of 2026-08-27.</t>
  </si>
  <si>
    <t xml:space="preserve">#</t>
  </si>
  <si>
    <t xml:space="preserve">Area</t>
  </si>
  <si>
    <t xml:space="preserve">Item</t>
  </si>
  <si>
    <t xml:space="preserve">Details</t>
  </si>
  <si>
    <t xml:space="preserve">Date</t>
  </si>
  <si>
    <t xml:space="preserve">Security</t>
  </si>
  <si>
    <t xml:space="preserve">Admin Setup config-CRUD hardening</t>
  </si>
  <si>
    <t xml:space="preserve">Generic whitelisted route (/api/admin/config/[table]) replaces direct client-side Supabase writes for Exercises, Training Programs, Instructor Roles, Sortie Types, Ground School Subjects, Requirement Templates, Holidays.</t>
  </si>
  <si>
    <t xml:space="preserve">2026-08-24 (session 7)</t>
  </si>
  <si>
    <t xml:space="preserve">Aircraft Setup hardening</t>
  </si>
  <si>
    <t xml:space="preserve">Switched to the existing secured /api/aircraft route instead of direct Supabase writes.</t>
  </si>
  <si>
    <t xml:space="preserve">IDOR fix — Ground School Progress page</t>
  </si>
  <si>
    <t xml:space="preserve">Student login can no longer view another student's progress/DGCA data via the ?student= URL parameter.</t>
  </si>
  <si>
    <t xml:space="preserve">Forged exam records fix</t>
  </si>
  <si>
    <t xml:space="preserve">Direct Exam Entry now goes through a new server-side role-checked route instead of a client-side insert.</t>
  </si>
  <si>
    <t xml:space="preserve">Accessibility</t>
  </si>
  <si>
    <t xml:space="preserve">Escape-to-close on all modals</t>
  </si>
  <si>
    <t xml:space="preserve">Shared useEscapeToClose hook wired into all 15 custom modals.</t>
  </si>
  <si>
    <t xml:space="preserve">aria-label on Close buttons</t>
  </si>
  <si>
    <t xml:space="preserve">11 icon-only Close (X) buttons now have an accessible name.</t>
  </si>
  <si>
    <t xml:space="preserve">Feature</t>
  </si>
  <si>
    <t xml:space="preserve">Breath Analyser (BA) Test Register</t>
  </si>
  <si>
    <t xml:space="preserve">New table + secured API routes + data-entry page; Safety Officer role added; SPL/CPL license numbers captured for students/instructors.</t>
  </si>
  <si>
    <t xml:space="preserve">2026-08-19/20</t>
  </si>
  <si>
    <t xml:space="preserve">Breath Analysis Report page</t>
  </si>
  <si>
    <t xml:space="preserve">Separate Daily/Weekly/Monthly reporting view with PDF + Excel/CSV export, reusing the register's data.</t>
  </si>
  <si>
    <t xml:space="preserve">2026-08-20 (session 4)</t>
  </si>
  <si>
    <t xml:space="preserve">SPL/CPL Number required-on-completion</t>
  </si>
  <si>
    <t xml:space="preserve">Student Pilot License / CPL number now required (client + server) before the SPL requirement can be completed or an instructor created.</t>
  </si>
  <si>
    <t xml:space="preserve">SPL/CPL Expiry Date fields</t>
  </si>
  <si>
    <t xml:space="preserve">Nullable expiry-date columns + form fields for students (SPL) and instructors (CPL).</t>
  </si>
  <si>
    <t xml:space="preserve">2026-08-20</t>
  </si>
  <si>
    <t xml:space="preserve">SPL/CPL Issue Date + auto-expiry</t>
  </si>
  <si>
    <t xml:space="preserve">Issue date field added; Expiry Date auto-calculates as Issue Date + 10 years until manually touched.</t>
  </si>
  <si>
    <t xml:space="preserve">2026-08-20/21</t>
  </si>
  <si>
    <t xml:space="preserve">SPL/CPL expiry alerts</t>
  </si>
  <si>
    <t xml:space="preserve">Color-coded UI badges on Student/Instructor cards + email notification via the existing cron job, mirroring the medical-expiry pattern.</t>
  </si>
  <si>
    <t xml:space="preserve">2026-08-21 (session 6)</t>
  </si>
  <si>
    <t xml:space="preserve">User Management Edit action</t>
  </si>
  <si>
    <t xml:space="preserve">Admins can now edit an existing user's name/email/role, with a self-demotion guard and duplicate-email handling.</t>
  </si>
  <si>
    <t xml:space="preserve">Persistent sidebar navigation</t>
  </si>
  <si>
    <t xml:space="preserve">Role-filtered left sidebar added across the whole app dashboard shell.</t>
  </si>
  <si>
    <t xml:space="preserve">2026-08-17</t>
  </si>
  <si>
    <t xml:space="preserve">Bug fix</t>
  </si>
  <si>
    <t xml:space="preserve">Sidebar nav-highlight bug</t>
  </si>
  <si>
    <t xml:space="preserve">Instructors vs My Students no longer both highlight due to a string-prefix match bug.</t>
  </si>
  <si>
    <t xml:space="preserve">2026-08-20 (session 2)</t>
  </si>
  <si>
    <t xml:space="preserve">Quality</t>
  </si>
  <si>
    <t xml:space="preserve">Safe-batch lint cleanup</t>
  </si>
  <si>
    <t xml:space="preserve">166 → 94 lint problems cleared via zero-risk mechanical fixes across 29 files.</t>
  </si>
  <si>
    <t xml:space="preserve">Solo Release server-side hardening</t>
  </si>
  <si>
    <t xml:space="preserve">Requirements Checklist toggle now has a real server-side role check instead of client-trusted only.</t>
  </si>
  <si>
    <t xml:space="preserve">2026-08-19</t>
  </si>
  <si>
    <t xml:space="preserve">Hardcoded-data audit &amp; cleanup</t>
  </si>
  <si>
    <t xml:space="preserve">Dead mock-data module removed; several hardcoded lists migrated to DB-driven sources.</t>
  </si>
  <si>
    <t xml:space="preserve">Per-phase training-program matching</t>
  </si>
  <si>
    <t xml:space="preserve">matchTrainingProgram() resolves a student's stage to the correct training_programs row.</t>
  </si>
  <si>
    <t xml:space="preserve">DGCA roll number + real exam score capture</t>
  </si>
  <si>
    <t xml:space="preserve">All three ground-school exam entry points now capture the real DGCA roll number and score.</t>
  </si>
  <si>
    <t xml:space="preserve">CPL Multi Engine + Simulator hours</t>
  </si>
  <si>
    <t xml:space="preserve">Added hour-tracking columns + aircraft type/model data-model restructure to support auto-tracking.</t>
  </si>
  <si>
    <t xml:space="preserve">Docs</t>
  </si>
  <si>
    <t xml:space="preserve">DGCA draft templates (Maintenance Log + Incident Report)</t>
  </si>
  <si>
    <t xml:space="preserve">Two draft Word templates built from standard CAR/ICAO conventions — still need user verification against real DGCA forms before implementation.</t>
  </si>
  <si>
    <t xml:space="preserve">2026-08-24</t>
  </si>
  <si>
    <t xml:space="preserve">Pre-Handover Test Plan (Excel)</t>
  </si>
  <si>
    <t xml:space="preserve">36-case P0/P1/P2 test plan covering everything unverified from sessions 2-7, delivered to docs/.</t>
  </si>
  <si>
    <t xml:space="preserve">2026-08-25</t>
  </si>
  <si>
    <t xml:space="preserve">Governance</t>
  </si>
  <si>
    <t xml:space="preserve">next-steps-plan-2026-08-11.md reconstructed</t>
  </si>
  <si>
    <t xml:space="preserve">Accidentally-overwritten project doc rebuilt from cross-referenced sources; marked explicitly as a reconstruction.</t>
  </si>
  <si>
    <t xml:space="preserve">Permissions</t>
  </si>
  <si>
    <t xml:space="preserve">IR required_hours corrected</t>
  </si>
  <si>
    <t xml:space="preserve">User confirmed the real DGCA value is 15 (was 40) and fixed it themselves via the now-secured Admin Setup route.</t>
  </si>
  <si>
    <t xml:space="preserve">Instructor roster view access</t>
  </si>
  <si>
    <t xml:space="preserve">Instructors can now view (not edit) the full Instructors roster, previously admin/operations-only.</t>
  </si>
  <si>
    <t xml:space="preserve">My Students tab scoped to instructor role</t>
  </si>
  <si>
    <t xml:space="preserve">Removed admin/super_admin from this personalized view — they already have the full roster elsewhere.</t>
  </si>
  <si>
    <t xml:space="preserve">UI cleanup</t>
  </si>
  <si>
    <t xml:space="preserve">Dashboard Quick Actions tile grid removed</t>
  </si>
  <si>
    <t xml:space="preserve">Redundant now that the persistent sidebar covers the same navigation.</t>
  </si>
  <si>
    <t xml:space="preserve">Release</t>
  </si>
  <si>
    <t xml:space="preserve">All work through 2026-08-25 committed, pushed, and merged into production</t>
  </si>
  <si>
    <t xml:space="preserve">main and production both at commit 4aefc5c, confirmed via real terminal output.</t>
  </si>
  <si>
    <t xml:space="preserve">Medical Expiry null-input console error</t>
  </si>
  <si>
    <t xml:space="preserve">React "value prop on input should not be null" — fixed missing || '' fallback in lib/store.ts's row mapper and StudentFormModal.tsx's populate-on-edit effect.</t>
  </si>
  <si>
    <t xml:space="preserve">2026-08-26</t>
  </si>
  <si>
    <t xml:space="preserve">Broader icon-button aria-label coverage (item 38)</t>
  </si>
  <si>
    <t xml:space="preserve">11 files, 19 buttons — Edit/Delete pencil/trash icons across Admin Setup's 7 CRUD tabs plus Availability/Maintenance/Ground School Attendance pages now labeled with the row's own identifying name, not a generic "Edit"/"Delete". Closes the item deliberately deferred from session 7.</t>
  </si>
  <si>
    <t xml:space="preserve">Partial Weekly Off Day scheduling</t>
  </si>
  <si>
    <t xml:space="preserve">New FTO Settings option covering all 3 real-world patterns: 1 weekly off, 2 weekly offs, or 1 weekly off + occurrence-based (e.g. every 2nd &amp; 4th Saturday, or every 1st/3rd/5th Saturday). Single shared getSchedulingBlockReason() used by every scheduling surface (BookingForm, ScheduleBoard, GroundSchoolCalendar, store).</t>
  </si>
  <si>
    <t xml:space="preserve">Partial Weekly Off Day — Settings save not refreshing shared store</t>
  </si>
  <si>
    <t xml:space="preserve">Root cause: SettingsTab.tsx wrote settings to Supabase but never refreshed the Zustand store's cached ftoSettings — a pre-existing architectural gap affecting ANY setting change, not just the new feature. Found via user testing (29-08-2026 not blocked), fixed by refreshing the store after save.</t>
  </si>
  <si>
    <t xml:space="preserve">BA Test Register write access narrowed</t>
  </si>
  <si>
    <t xml:space="preserve">Removed admin/super_admin from BA_TEST_WRITE_ROLES — only safety_officer + operations can add/edit entries now; admin/super_admin retain view-only access via the existing REPORTS_VIEW_ROLES. Single source of truth (lib/permissions.ts) closes the gap across the UI and all 3 server routes at once.</t>
  </si>
  <si>
    <t xml:space="preserve">Aircraft Maintenance Schedule — Phase 1</t>
  </si>
  <si>
    <t xml:space="preserve">New per-model recurring maintenance schedule (engine TBO, Oil Change, 50/100-Hour Inspection, Annual Inspection, Propeller Service, Avionics Check, AD Compliance/ARC review — DGCA-researched, all 5 fleet models) driving: an Aircraft Model dropdown (with "Other" fallback), a non-blocking "Maintenance Due" warning panel, and staff-confirmed Set-Baseline / Create-Maintenance-Record actions. 4 SQL migrations + 13 code files. Phase 2 (hard-blocking bookings on overdue items) deliberately deferred to backlog.</t>
  </si>
  <si>
    <t xml:space="preserve">Aircraft Maintenance Schedule — Type/Model engine-type filtering</t>
  </si>
  <si>
    <t xml:space="preserve">Model dropdown now filtered by the selected engine Type (Single/Multi Engine); switching Type clears a now-mismatched Model. A model not yet mapped is shown for either Type so nothing becomes unselectable by omission.</t>
  </si>
  <si>
    <t xml:space="preserve">2026-08-27</t>
  </si>
  <si>
    <t xml:space="preserve">Aircraft Maintenance Schedule — fleet expansion to 9 models</t>
  </si>
  <si>
    <t xml:space="preserve">Added Cessna 152, Piper PA-28 Cherokee/Archer, Piper Archer DX, and Diamond DA40 with DGCA/manufacturer-researched schedule data (real sources, same discipline as the original 5 models).</t>
  </si>
  <si>
    <t xml:space="preserve">Type/Model engine-type mapping moved from hardcoded to DB-driven</t>
  </si>
  <si>
    <t xml:space="preserve">New engine_type column on the schedule-template table, with an Admin Setup selector; adding or changing a model's engine type no longer needs a code change/redeploy — closes the last hardcoded-list gap in this feature.</t>
  </si>
  <si>
    <t xml:space="preserve">Aircraft Maintenance Schedule Phase 1 + fleet expansion committed, pushed, and merged into production</t>
  </si>
  <si>
    <t xml:space="preserve">Two commits (b1a5bd8, 819baef), both independently verified against GitHub. Merged to production before all testing was complete, per the user's explicit informed call.</t>
  </si>
  <si>
    <t xml:space="preserve">UX / Data integrity</t>
  </si>
  <si>
    <t xml:space="preserve">Aircraft Model "Other (custom)" now warns and blocks Save instead of accepting free text</t>
  </si>
  <si>
    <t xml:space="preserve">User's own suggestion: a custom Model that doesn't match a schedule template silently broke Maintenance Due tracking (the exact bug found earlier). Picking "Other" in both AircraftFormModal.tsx and AircraftSetupTab.tsx now shows an inline warning naming the current value (if any) and disables Save, pointing the admin at Admin Setup &gt; Aircraft Maintenance Schedule; a "Refresh list" button lets them pick the newly-added model without closing the form. Free text is kept ONLY as a bootstrap fallback for the (currently hypothetical) case of an empty schedule-template table. tsc clean, eslint introduces zero new issues (verified against the pre-edit baseline). Delivered to the real machine, confirmed byte-for-byte — not yet committed.</t>
  </si>
  <si>
    <t xml:space="preserve">Aircraft Maintenance Schedule — CSV bulk import (Download Template / Upload CSV)</t>
  </si>
  <si>
    <t xml:space="preserve">User's request: adding schedule items one at a time was too slow for onboarding a new aircraft type's whole schedule. Added a Download Template / Upload CSV pair to the Admin Setup tab, mirroring ExercisesTab.tsx's existing CSV pattern (same papaparse library, same Append + skip-duplicates rule, no new dependency). Reuses the existing secured bulk-insert path in /api/admin/config/[table]/route.ts (already supported an array body) — no API changes needed. CSV rows can span multiple aircraft models in one upload, not just the currently-selected one. Client-side validates interval_type, interval_value, and engine_type before submitting (the DB CHECK constraints would otherwise fail the WHOLE batch on one bad row, since it's a single insert call) and pre-dedupes against the table's own unique(aircraft_model, item_name) constraint. tsc clean; eslint confirmed zero new issues via before/after diff against the unedited baseline. Delivered to the real machine, confirmed byte-for-byte — not yet committed.</t>
  </si>
  <si>
    <t xml:space="preserve">Urgency</t>
  </si>
  <si>
    <t xml:space="preserve">Test security-hardening round</t>
  </si>
  <si>
    <t xml:space="preserve">All 7 Admin Setup config-route tabs, Aircraft Setup, the IDOR fix, and the direct-exam-entry route — live on production, untested.</t>
  </si>
  <si>
    <t xml:space="preserve">Urgent</t>
  </si>
  <si>
    <t xml:space="preserve">Test accessibility-hardening round</t>
  </si>
  <si>
    <t xml:space="preserve">Escape closes all 15 modals; all 11 Close buttons announce correctly to a screen reader — live on production, untested.</t>
  </si>
  <si>
    <t xml:space="preserve">Test My Students instructor-only scoping</t>
  </si>
  <si>
    <t xml:space="preserve">Confirm admin/super_admin get Not Authorized on /dashboard/instructor; instructors still see it and it works.</t>
  </si>
  <si>
    <t xml:space="preserve">High</t>
  </si>
  <si>
    <t xml:space="preserve">UI</t>
  </si>
  <si>
    <t xml:space="preserve">Test Dashboard after Quick Actions removal</t>
  </si>
  <si>
    <t xml:space="preserve">Confirm layout still looks right and every removed tile's destination is still reachable via the sidebar for each role.</t>
  </si>
  <si>
    <t xml:space="preserve">Testing</t>
  </si>
  <si>
    <t xml:space="preserve">Full smoke-test pass</t>
  </si>
  <si>
    <t xml:space="preserve">Training-stage dropdown, student cards, students-list filter, target-hours consistency, Multi Engine/Simulator progress cards, Breath Analyser Register + Report end-to-end, instructor CPL server-side block, SPL/CPL issue-date fields.</t>
  </si>
  <si>
    <t xml:space="preserve">Normal</t>
  </si>
  <si>
    <t xml:space="preserve">Permission override feature — no live test yet</t>
  </si>
  <si>
    <t xml:space="preserve">Per-user module access overrides have never been tested end-to-end in the live app.</t>
  </si>
  <si>
    <t xml:space="preserve">QA Addendum B not run against real app</t>
  </si>
  <si>
    <t xml:space="preserve">Doesn't yet cover Reports or any 2026-08-19 onward work.</t>
  </si>
  <si>
    <t xml:space="preserve">Confirm Safety Officer user actually exists</t>
  </si>
  <si>
    <t xml:space="preserve">User reported creating one but it hasn't been independently re-verified.</t>
  </si>
  <si>
    <t xml:space="preserve">Test instructor CPL server-side block</t>
  </si>
  <si>
    <t xml:space="preserve">Not yet explicitly confirmed that a blank CPL number is rejected server-side.</t>
  </si>
  <si>
    <t xml:space="preserve">Test SPL/CPL auto-expiry + alert system</t>
  </si>
  <si>
    <t xml:space="preserve">Issue-date auto-fill/override behavior, and the expiry badge + email alert system.</t>
  </si>
  <si>
    <t xml:space="preserve">Test target-hours consistency for a MULTI student</t>
  </si>
  <si>
    <t xml:space="preserve">Dashboard widget / Progress page / Instructor dashboard should all agree, now that the MULTI row exists.</t>
  </si>
  <si>
    <t xml:space="preserve">Retest Partial Weekly Off Day feature</t>
  </si>
  <si>
    <t xml:space="preserve">Confirm 29-08-2026 (2nd/4th Saturday rule) is now correctly blocked after the Settings-store-refresh fix — asked but not yet confirmed by the user.</t>
  </si>
  <si>
    <t xml:space="preserve">Functionally test BA Test Register permission narrowing</t>
  </si>
  <si>
    <t xml:space="preserve">Confirm admin/super_admin can no longer add/edit BA entries (view-only) and safety_officer/operations still can, on the real logged-in app.</t>
  </si>
  <si>
    <t xml:space="preserve">Test Aircraft Maintenance Schedule Phase 1 (IN PROGRESS)</t>
  </si>
  <si>
    <t xml:space="preserve">Confirmed working: Admin Setup schedule tab (9 models, Engine Type selector), Add/Edit Aircraft Type/Model filtering (incl. "Other (custom)" fallback and the pre-existing-aircraft Model re-pick), and the Maintenance Due panel's own Set Baseline / Create Maintenance Record buttons. Still needs a deliberate test: logging a completion through the normal "Log Maintenance" screen (not the Due panel's own buttons) — Type = Oil Change or similar, Status = Completed, Hobbs at Completion filled in — confirm the matching Due-panel item resets. This is the exact path the earlier item-name-mismatch bug was found and fixed in, so worth exercising deliberately rather than assuming it still works.</t>
  </si>
  <si>
    <t xml:space="preserve">General regression pass over the rest of the app</t>
  </si>
  <si>
    <t xml:space="preserve">Booking, Flight Records, Ground School, and the other Admin Setup tabs — nothing in this session's Aircraft Maintenance Schedule work should have touched them, but worth a normal-use sanity check now that everything (schedule feature, Type/Model filtering, fleet expansion, DB-driven engine type) is live on production.</t>
  </si>
  <si>
    <t xml:space="preserve">Test "Other (custom)" Model warn-and-block behavior</t>
  </si>
  <si>
    <t xml:space="preserve">Add/Edit Aircraft, both AircraftFormModal.tsx and the Admin Setup Aircraft tab: pick "Other (custom)…", confirm the warning shows and Save/Add is disabled; add the model via Admin Setup &gt; Aircraft Maintenance Schedule, click "Refresh list", confirm it now appears and can be picked and saved. Also edit an aircraft with a legacy unmatched Model and confirm the same warning/block appears until it's re-picked.</t>
  </si>
  <si>
    <t xml:space="preserve">Why it's on hold</t>
  </si>
  <si>
    <t xml:space="preserve">UI/UX</t>
  </si>
  <si>
    <t xml:space="preserve">4 modals' hardcoded dark Tailwind classes</t>
  </si>
  <si>
    <t xml:space="preserve">Unreadable in light mode.</t>
  </si>
  <si>
    <t xml:space="preserve">Needs visual verification — not fixable blind in a sandbox with no deployed URL.</t>
  </si>
  <si>
    <t xml:space="preserve">Two more unhardened write paths</t>
  </si>
  <si>
    <t xml:space="preserve">Attendance page's exam editor + RequirementsChecklist's own separate exam-entry path still write client-side into ground_school_enrollment/training_requirements.</t>
  </si>
  <si>
    <t xml:space="preserve">Found during session 7's security round but out of the four original numbered findings — same fix shape as direct-exam, different call sites.</t>
  </si>
  <si>
    <t xml:space="preserve">3 modals can overflow on short viewports</t>
  </si>
  <si>
    <t xml:space="preserve">Viewport-dependent, needs visual/viewport verification.</t>
  </si>
  <si>
    <t xml:space="preserve">Not fixable blind in a sandbox with no browser access.</t>
  </si>
  <si>
    <t xml:space="preserve">Code quality</t>
  </si>
  <si>
    <t xml:space="preserve">Deferred lint bucket</t>
  </si>
  <si>
    <t xml:space="preserve">no-explicit-any, react-hooks/exhaustive-deps, react-hooks/set-state-in-effect, @next/next/no-img-element.</t>
  </si>
  <si>
    <t xml:space="preserve">User explicitly chose 'safe batch now, rest later' during the lint cleanup round.</t>
  </si>
  <si>
    <t xml:space="preserve">Correctness</t>
  </si>
  <si>
    <t xml:space="preserve">0-vs-null bug in progress percentages</t>
  </si>
  <si>
    <t xml:space="preserve">?? only falls through on null/undefined, not 0 — a legitimate 0 in a training-program hour field produces NaN/100%-clamped results.</t>
  </si>
  <si>
    <t xml:space="preserve">Flagged in the whole-frontend review, not yet scheduled.</t>
  </si>
  <si>
    <t xml:space="preserve">Hardcoded 40h/200h fallback targets</t>
  </si>
  <si>
    <t xml:space="preserve">app/dashboard/student/page.tsx hardcodes targets instead of using matchTrainingProgram(); also inconsistent with the Dashboard widget's own fallback.</t>
  </si>
  <si>
    <t xml:space="preserve">Flagged in the whole-frontend review, deliberately deferred.</t>
  </si>
  <si>
    <t xml:space="preserve">Several smaller correctness bugs</t>
  </si>
  <si>
    <t xml:space="preserve">Medical-valid null-guard, midnight-crossing flight-duration clamp, fuel-percent zero-guard, Daily Ops Sheet IST minute-drop.</t>
  </si>
  <si>
    <t xml:space="preserve">Lower urgency per the whole-frontend review's own framing.</t>
  </si>
  <si>
    <t xml:space="preserve">CSV import logic duplicated</t>
  </si>
  <si>
    <t xml:space="preserve">Drifted between ExercisesTab.tsx and HolidaysTab.tsx.</t>
  </si>
  <si>
    <t xml:space="preserve">GroundSchoolCalendar.tsx is a 1036-line monolith</t>
  </si>
  <si>
    <t xml:space="preserve">Candidate for a refactor/split.</t>
  </si>
  <si>
    <t xml:space="preserve">Admin Setup CRUD-tab boilerplate duplicated</t>
  </si>
  <si>
    <t xml:space="preserve">Repeated pattern across 4+ tabs could be consolidated.</t>
  </si>
  <si>
    <t xml:space="preserve">Data</t>
  </si>
  <si>
    <t xml:space="preserve">Cron job silent-failure fallback to anon key</t>
  </si>
  <si>
    <t xml:space="preserve">check-notifications/route.ts may silently fall back to the anon key if the service-role key is unset (flow audit finding #8).</t>
  </si>
  <si>
    <t xml:space="preserve">Never confirmed fixed or broken — worth a five-minute check next time that file is touched.</t>
  </si>
  <si>
    <t xml:space="preserve">Optional: backfill expiry/issue dates</t>
  </si>
  <si>
    <t xml:space="preserve">Existing SPL/CPL numbers on file have no expiry/issue date backfilled.</t>
  </si>
  <si>
    <t xml:space="preserve">Optional, no user request yet.</t>
  </si>
  <si>
    <t xml:space="preserve">Cosmetic</t>
  </si>
  <si>
    <t xml:space="preserve">Minor pre-existing inconsistencies</t>
  </si>
  <si>
    <t xml:space="preserve">Exercise field storage format differs between FlightRecordForm and BookingForm; a historical flight's exercise short code changed; leave-type list duplicated between two files; a couple of pre-DGCA-fix rows have blank roll numbers; every aircraft's Type/Model should be spot-checked post-restructure.</t>
  </si>
  <si>
    <t xml:space="preserve">All low-impact cosmetic items, deliberately not chased.</t>
  </si>
  <si>
    <t xml:space="preserve">Dashboard/Instructor-dashboard vs Progress page fallback mismatch</t>
  </si>
  <si>
    <t xml:space="preserve">200h vs 40h fallback targets disagree when no training program matches.</t>
  </si>
  <si>
    <t xml:space="preserve">Deliberately deferred pending a decision on which fallback is correct.</t>
  </si>
  <si>
    <t xml:space="preserve">Description</t>
  </si>
  <si>
    <t xml:space="preserve">Status</t>
  </si>
  <si>
    <t xml:space="preserve">Impact</t>
  </si>
  <si>
    <t xml:space="preserve">Effort</t>
  </si>
  <si>
    <t xml:space="preserve">Notes / What to decide</t>
  </si>
  <si>
    <t xml:space="preserve">Checkbox-style Requirements UI</t>
  </si>
  <si>
    <t xml:space="preserve">Friendlier way to manage requirement completion than the current checklist.</t>
  </si>
  <si>
    <t xml:space="preserve">Not started</t>
  </si>
  <si>
    <t xml:space="preserve">Medium</t>
  </si>
  <si>
    <t xml:space="preserve">Called out in the original backlog as 'the natural next feature once security/testing is cleared.' Smallest, most self-contained of the open backlog items.</t>
  </si>
  <si>
    <t xml:space="preserve">DGCA Incident Report — full implementation</t>
  </si>
  <si>
    <t xml:space="preserve">Extend the existing safety_incidents table with the draft template's fields (occurrence classification, per-person injury, damage, contributing factors, DGCA notification ref) and build a proper standalone form/page (today it's a small panel on the Daily Flying Report page).</t>
  </si>
  <si>
    <t xml:space="preserve">Researched, not started</t>
  </si>
  <si>
    <t xml:space="preserve">Blocked on the user verifying the draft Word template against the FTO's real CA Form 19-10/CAR Section 5 paperwork first.</t>
  </si>
  <si>
    <t xml:space="preserve">DGCA Maintenance Log — full implementation</t>
  </si>
  <si>
    <t xml:space="preserve">Extend the existing maintenance_records table with DGCA-specific fields (airframe hours, block hours, parts used, AME license, CRS reference); also switch loadMaintenanceRecords off its legacy direct-Supabase read while touching this table.</t>
  </si>
  <si>
    <t xml:space="preserve">Same blocker as the Incident Report — needs the real DGCA form verified first.</t>
  </si>
  <si>
    <t xml:space="preserve">Mobile PWA (installable/offline)</t>
  </si>
  <si>
    <t xml:space="preserve">The responsive-layout half is done (works well on phones/tablets); true installability — manifest, service worker, install prompt, offline support — is not built.</t>
  </si>
  <si>
    <t xml:space="preserve">Partially done</t>
  </si>
  <si>
    <t xml:space="preserve">No explicit user ask yet beyond the original backlog line item.</t>
  </si>
  <si>
    <t xml:space="preserve">Billing module</t>
  </si>
  <si>
    <t xml:space="preserve">Student/FTO billing and invoicing — no scoping conversation has happened yet.</t>
  </si>
  <si>
    <t xml:space="preserve">Large</t>
  </si>
  <si>
    <t xml:space="preserve">Needs a scoping discussion before any estimate is meaningful — likely the largest single feature in the backlog.</t>
  </si>
  <si>
    <t xml:space="preserve">Multi-FTO / multi-base support</t>
  </si>
  <si>
    <t xml:space="preserve">The app currently assumes a single operating location/airport; multi-base support isn't built.</t>
  </si>
  <si>
    <t xml:space="preserve">Touches most of the app's data model (aircraft, schedule, weather/NOTAM, reports) — needs scoping.</t>
  </si>
  <si>
    <t xml:space="preserve">Multi-language support</t>
  </si>
  <si>
    <t xml:space="preserve">No i18n framework or translated strings exist yet.</t>
  </si>
  <si>
    <t xml:space="preserve">Low</t>
  </si>
  <si>
    <t xml:space="preserve">No user demand signal yet beyond the original backlog line item — lowest apparent priority of the five backlog items.</t>
  </si>
  <si>
    <t xml:space="preserve">Aircraft Maintenance Schedule — Phase 2 (hard-block bookings)</t>
  </si>
  <si>
    <t xml:space="preserve">Auto-ground / block scheduling when a mandatory maintenance item goes overdue, instead of Phase 1's non-blocking warnings.</t>
  </si>
  <si>
    <t xml:space="preserve">Deliberately deferred by the user's own request until Phase 1 is confirmed working in practice; needs a decision on which items (if any) should be hard-blocking vs. warning-only, and how a false-positive baseline would be handled before an aircraft gets auto-grounded.</t>
  </si>
  <si>
    <t xml:space="preserve">One-time "unrecognized Model" admin banner</t>
  </si>
  <si>
    <t xml:space="preserve">A banner/flag (e.g. on Admin Setup or the Aircraft list) when N aircraft have a Model value that doesn't match any maintenance schedule template, with a one-click path to the affected aircraft's Edit form to re-pick the correct Model from the dropdown.</t>
  </si>
  <si>
    <t xml:space="preserve">Small</t>
  </si>
  <si>
    <t xml:space="preserve">2026-08-27 update: new aircraft can no longer be created/saved with an unrecognized Model at all (see Completed) — this item now only covers EXISTING aircraft that predate that fix (or were saved before the DB-driven engine_type migration). Lower priority than originally scoped, since the main failure mode is now closed at the point of entry.</t>
  </si>
  <si>
    <t xml:space="preserve">Plan Tracker — Summary</t>
  </si>
  <si>
    <t xml:space="preserve">Completed items</t>
  </si>
  <si>
    <t xml:space="preserve">Pending (needs verification)</t>
  </si>
  <si>
    <t xml:space="preserve">  — of which Urgent</t>
  </si>
  <si>
    <t xml:space="preserve">On Hold / deferred</t>
  </si>
  <si>
    <t xml:space="preserve">New Features in backlog</t>
  </si>
  <si>
    <t xml:space="preserve">  — High impact</t>
  </si>
  <si>
    <t xml:space="preserve">Suggested next steps, in order</t>
  </si>
  <si>
    <t xml:space="preserve">1. Run the two Urgent items in Pending — session 7's security + accessibility fixes are live on production, still untested as of this update. This is risk reduction, not new work, and should come first regardless of what's picked next.</t>
  </si>
  <si>
    <t xml:space="preserve">2. Aircraft Maintenance Schedule Phase 1 + fleet expansion are now committed, pushed, and merged into production (2026-08-27). One targeted test remains — logging a completion via the normal Log Maintenance screen with Hobbs at Completion — plus a general regression pass over the rest of the app (see Pending). Once clear, consider scoping Phase 2 (hard-blocking bookings).</t>
  </si>
  <si>
    <t xml:space="preserve">3. Retest Partial Weekly Off Day (29-08-2026 case) and functionally verify the BA Test Register permission narrowing — both shipped fixes awaiting confirmation.</t>
  </si>
  <si>
    <t xml:space="preserve">4. Clear the rest of Pending with a normal testing pass (see the Pre-Handover Test Plan for the detailed step-by-step cases).</t>
  </si>
  <si>
    <t xml:space="preserve">5. For new feature work: Checkbox-style Requirements UI is still the smallest, most self-contained backlog item — good first pick if you want visible progress fast once the above testing is clear.</t>
  </si>
  <si>
    <t xml:space="preserve">6. The two DGCA implementation items (Incident Report, Maintenance Log) are High impact but blocked on you verifying the draft templates against the FTO's real paperwork first — worth doing that verification soon so they're unblocked whenever there's room.</t>
  </si>
  <si>
    <t xml:space="preserve">7. Billing and Multi-FTO are both High/Medium-impact but Large-effort with no scoping done yet — good candidates for a dedicated scoping conversation before committing to either.</t>
  </si>
  <si>
    <t xml:space="preserve">8. Mobile PWA installability, Multi-language, and Aircraft Maintenance Schedule Phase 2 are lower urgency — park until something above them is done.</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</si>
</sst>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1"/>
      <color rgb="FF000000"/>
      <name val="Arial"/>
      <family val="0"/>
      <charset val="1"/>
    </font>
    <font>
      <b val="true"/>
      <sz val="11"/>
      <color rgb="FF000000"/>
      <name val="Arial"/>
      <family val="0"/>
      <charset val="1"/>
    </font>
    <font>
      <b val="true"/>
      <sz val="11"/>
      <color rgb="FFFFFFFF"/>
      <name val="Arial"/>
      <family val="0"/>
      <charset val="1"/>
    </font>
    <font>
      <sz val="10"/>
      <name val="Arial"/>
      <family val="0"/>
      <charset val="1"/>
    </font>
    <font>
      <b val="true"/>
      <sz val="10"/>
      <name val="Arial"/>
      <family val="0"/>
      <charset val="1"/>
    </font>
    <font>
      <b val="true"/>
      <sz val="14"/>
      <color rgb="FF1F3864"/>
      <name val="Arial"/>
      <family val="0"/>
      <charset val="1"/>
    </font>
    <font>
      <b val="true"/>
      <sz val="11"/>
      <name val="Arial"/>
      <family val="0"/>
      <charset val="1"/>
    </font>
    <font>
      <sz val="11"/>
      <name val="Arial"/>
      <family val="0"/>
      <charset val="1"/>
    </font>
    <font>
      <b val="true"/>
      <sz val="12"/>
      <color rgb="FF1F3864"/>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C6EFCE"/>
        <bgColor rgb="FFD9E1F2"/>
      </patternFill>
    </fill>
    <fill>
      <patternFill patternType="solid">
        <fgColor rgb="FFF8CBAD"/>
        <bgColor rgb="FFFFE699"/>
      </patternFill>
    </fill>
    <fill>
      <patternFill patternType="solid">
        <fgColor rgb="FFFFE699"/>
        <bgColor rgb="FFF8CBAD"/>
      </patternFill>
    </fill>
    <fill>
      <patternFill patternType="solid">
        <fgColor rgb="FFD9E1F2"/>
        <bgColor rgb="FFEDEDED"/>
      </patternFill>
    </fill>
    <fill>
      <patternFill patternType="solid">
        <fgColor rgb="FFEDEDED"/>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C6EFCE"/>
          <bgColor rgb="FF000000"/>
        </patternFill>
      </fill>
    </dxf>
    <dxf>
      <fill>
        <patternFill patternType="solid">
          <fgColor rgb="FFFFFFFF"/>
          <bgColor rgb="FF000000"/>
        </patternFill>
      </fill>
    </dxf>
    <dxf>
      <fill>
        <patternFill patternType="solid">
          <bgColor rgb="FF000000"/>
        </patternFill>
      </fill>
    </dxf>
    <dxf>
      <fill>
        <patternFill patternType="solid">
          <fgColor rgb="FFD9E1F2"/>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5"/>
  </cols>
  <sheetData>
    <row r="1" customFormat="false" ht="19.5" hidden="false" customHeight="true" outlineLevel="0" collapsed="false">
      <c r="A1" s="2" t="s">
        <v>0</v>
      </c>
    </row>
    <row r="3" customFormat="false" ht="39" hidden="false" customHeight="true" outlineLevel="0" collapsed="false">
      <c r="A3" s="3" t="s">
        <v>1</v>
      </c>
    </row>
    <row r="5" customFormat="false" ht="15" hidden="false" customHeight="true" outlineLevel="0" collapsed="false">
      <c r="A5" s="4" t="s">
        <v>2</v>
      </c>
    </row>
    <row r="6" customFormat="false" ht="15" hidden="false" customHeight="true" outlineLevel="0" collapsed="false">
      <c r="A6" s="3" t="s">
        <v>3</v>
      </c>
    </row>
    <row r="7" customFormat="false" ht="26.25" hidden="false" customHeight="true" outlineLevel="0" collapsed="false">
      <c r="A7" s="3" t="s">
        <v>4</v>
      </c>
    </row>
    <row r="8" customFormat="false" ht="26.25" hidden="false" customHeight="true" outlineLevel="0" collapsed="false">
      <c r="A8" s="3" t="s">
        <v>5</v>
      </c>
    </row>
    <row r="9" customFormat="false" ht="26.25" hidden="false" customHeight="true" outlineLevel="0" collapsed="false">
      <c r="A9" s="3" t="s">
        <v>6</v>
      </c>
    </row>
    <row r="10" customFormat="false" ht="15" hidden="false" customHeight="true" outlineLevel="0" collapsed="false">
      <c r="A10" s="3" t="s">
        <v>7</v>
      </c>
    </row>
    <row r="12" customFormat="false" ht="39" hidden="false" customHeight="true" outlineLevel="0" collapsed="false">
      <c r="A12" s="4" t="s">
        <v>8</v>
      </c>
    </row>
    <row r="14" customFormat="false" ht="26.25" hidden="false" customHeight="true" outlineLevel="0" collapsed="false">
      <c r="A14" s="3"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32"/>
    <col collapsed="false" customWidth="true" hidden="false" outlineLevel="0" max="4" min="4" style="1" width="60"/>
    <col collapsed="false" customWidth="true" hidden="false" outlineLevel="0" max="5" min="5" style="1" width="16"/>
  </cols>
  <sheetData>
    <row r="1" customFormat="false" ht="25.5" hidden="false" customHeight="true" outlineLevel="0" collapsed="false">
      <c r="A1" s="5" t="s">
        <v>10</v>
      </c>
      <c r="B1" s="5" t="s">
        <v>11</v>
      </c>
      <c r="C1" s="5" t="s">
        <v>12</v>
      </c>
      <c r="D1" s="5" t="s">
        <v>13</v>
      </c>
      <c r="E1" s="5" t="s">
        <v>14</v>
      </c>
    </row>
    <row r="2" customFormat="false" ht="34.5" hidden="false" customHeight="true" outlineLevel="0" collapsed="false">
      <c r="A2" s="6" t="n">
        <v>1</v>
      </c>
      <c r="B2" s="6" t="s">
        <v>15</v>
      </c>
      <c r="C2" s="7" t="s">
        <v>16</v>
      </c>
      <c r="D2" s="6" t="s">
        <v>17</v>
      </c>
      <c r="E2" s="6" t="s">
        <v>18</v>
      </c>
    </row>
    <row r="3" customFormat="false" ht="23.25" hidden="false" customHeight="true" outlineLevel="0" collapsed="false">
      <c r="A3" s="6" t="n">
        <v>2</v>
      </c>
      <c r="B3" s="6" t="s">
        <v>15</v>
      </c>
      <c r="C3" s="7" t="s">
        <v>19</v>
      </c>
      <c r="D3" s="6" t="s">
        <v>20</v>
      </c>
      <c r="E3" s="6" t="s">
        <v>18</v>
      </c>
    </row>
    <row r="4" customFormat="false" ht="23.25" hidden="false" customHeight="true" outlineLevel="0" collapsed="false">
      <c r="A4" s="6" t="n">
        <v>3</v>
      </c>
      <c r="B4" s="6" t="s">
        <v>15</v>
      </c>
      <c r="C4" s="7" t="s">
        <v>21</v>
      </c>
      <c r="D4" s="6" t="s">
        <v>22</v>
      </c>
      <c r="E4" s="6" t="s">
        <v>18</v>
      </c>
    </row>
    <row r="5" customFormat="false" ht="23.25" hidden="false" customHeight="true" outlineLevel="0" collapsed="false">
      <c r="A5" s="6" t="n">
        <v>4</v>
      </c>
      <c r="B5" s="6" t="s">
        <v>15</v>
      </c>
      <c r="C5" s="7" t="s">
        <v>23</v>
      </c>
      <c r="D5" s="6" t="s">
        <v>24</v>
      </c>
      <c r="E5" s="6" t="s">
        <v>18</v>
      </c>
    </row>
    <row r="6" customFormat="false" ht="23.25" hidden="false" customHeight="true" outlineLevel="0" collapsed="false">
      <c r="A6" s="6" t="n">
        <v>5</v>
      </c>
      <c r="B6" s="6" t="s">
        <v>25</v>
      </c>
      <c r="C6" s="7" t="s">
        <v>26</v>
      </c>
      <c r="D6" s="6" t="s">
        <v>27</v>
      </c>
      <c r="E6" s="6" t="s">
        <v>18</v>
      </c>
    </row>
    <row r="7" customFormat="false" ht="23.25" hidden="false" customHeight="true" outlineLevel="0" collapsed="false">
      <c r="A7" s="6" t="n">
        <v>6</v>
      </c>
      <c r="B7" s="6" t="s">
        <v>25</v>
      </c>
      <c r="C7" s="7" t="s">
        <v>28</v>
      </c>
      <c r="D7" s="6" t="s">
        <v>29</v>
      </c>
      <c r="E7" s="6" t="s">
        <v>18</v>
      </c>
    </row>
    <row r="8" customFormat="false" ht="23.25" hidden="false" customHeight="true" outlineLevel="0" collapsed="false">
      <c r="A8" s="6" t="n">
        <v>7</v>
      </c>
      <c r="B8" s="6" t="s">
        <v>30</v>
      </c>
      <c r="C8" s="7" t="s">
        <v>31</v>
      </c>
      <c r="D8" s="6" t="s">
        <v>32</v>
      </c>
      <c r="E8" s="6" t="s">
        <v>33</v>
      </c>
    </row>
    <row r="9" customFormat="false" ht="23.25" hidden="false" customHeight="true" outlineLevel="0" collapsed="false">
      <c r="A9" s="6" t="n">
        <v>8</v>
      </c>
      <c r="B9" s="6" t="s">
        <v>30</v>
      </c>
      <c r="C9" s="7" t="s">
        <v>34</v>
      </c>
      <c r="D9" s="6" t="s">
        <v>35</v>
      </c>
      <c r="E9" s="6" t="s">
        <v>36</v>
      </c>
    </row>
    <row r="10" customFormat="false" ht="23.25" hidden="false" customHeight="true" outlineLevel="0" collapsed="false">
      <c r="A10" s="6" t="n">
        <v>9</v>
      </c>
      <c r="B10" s="6" t="s">
        <v>30</v>
      </c>
      <c r="C10" s="7" t="s">
        <v>37</v>
      </c>
      <c r="D10" s="6" t="s">
        <v>38</v>
      </c>
      <c r="E10" s="6" t="s">
        <v>33</v>
      </c>
    </row>
    <row r="11" customFormat="false" ht="23.25" hidden="false" customHeight="true" outlineLevel="0" collapsed="false">
      <c r="A11" s="6" t="n">
        <v>10</v>
      </c>
      <c r="B11" s="6" t="s">
        <v>30</v>
      </c>
      <c r="C11" s="7" t="s">
        <v>39</v>
      </c>
      <c r="D11" s="6" t="s">
        <v>40</v>
      </c>
      <c r="E11" s="6" t="s">
        <v>41</v>
      </c>
    </row>
    <row r="12" customFormat="false" ht="23.25" hidden="false" customHeight="true" outlineLevel="0" collapsed="false">
      <c r="A12" s="6" t="n">
        <v>11</v>
      </c>
      <c r="B12" s="6" t="s">
        <v>30</v>
      </c>
      <c r="C12" s="7" t="s">
        <v>42</v>
      </c>
      <c r="D12" s="6" t="s">
        <v>43</v>
      </c>
      <c r="E12" s="6" t="s">
        <v>44</v>
      </c>
    </row>
    <row r="13" customFormat="false" ht="23.25" hidden="false" customHeight="true" outlineLevel="0" collapsed="false">
      <c r="A13" s="6" t="n">
        <v>12</v>
      </c>
      <c r="B13" s="6" t="s">
        <v>30</v>
      </c>
      <c r="C13" s="7" t="s">
        <v>45</v>
      </c>
      <c r="D13" s="6" t="s">
        <v>46</v>
      </c>
      <c r="E13" s="6" t="s">
        <v>47</v>
      </c>
    </row>
    <row r="14" customFormat="false" ht="23.25" hidden="false" customHeight="true" outlineLevel="0" collapsed="false">
      <c r="A14" s="6" t="n">
        <v>13</v>
      </c>
      <c r="B14" s="6" t="s">
        <v>30</v>
      </c>
      <c r="C14" s="7" t="s">
        <v>48</v>
      </c>
      <c r="D14" s="6" t="s">
        <v>49</v>
      </c>
      <c r="E14" s="6" t="s">
        <v>41</v>
      </c>
    </row>
    <row r="15" customFormat="false" ht="15" hidden="false" customHeight="true" outlineLevel="0" collapsed="false">
      <c r="A15" s="6" t="n">
        <v>14</v>
      </c>
      <c r="B15" s="6" t="s">
        <v>30</v>
      </c>
      <c r="C15" s="7" t="s">
        <v>50</v>
      </c>
      <c r="D15" s="6" t="s">
        <v>51</v>
      </c>
      <c r="E15" s="6" t="s">
        <v>52</v>
      </c>
    </row>
    <row r="16" customFormat="false" ht="23.25" hidden="false" customHeight="true" outlineLevel="0" collapsed="false">
      <c r="A16" s="6" t="n">
        <v>15</v>
      </c>
      <c r="B16" s="6" t="s">
        <v>53</v>
      </c>
      <c r="C16" s="7" t="s">
        <v>54</v>
      </c>
      <c r="D16" s="6" t="s">
        <v>55</v>
      </c>
      <c r="E16" s="6" t="s">
        <v>56</v>
      </c>
    </row>
    <row r="17" customFormat="false" ht="23.25" hidden="false" customHeight="true" outlineLevel="0" collapsed="false">
      <c r="A17" s="6" t="n">
        <v>16</v>
      </c>
      <c r="B17" s="6" t="s">
        <v>57</v>
      </c>
      <c r="C17" s="7" t="s">
        <v>58</v>
      </c>
      <c r="D17" s="6" t="s">
        <v>59</v>
      </c>
      <c r="E17" s="6" t="s">
        <v>41</v>
      </c>
    </row>
    <row r="18" customFormat="false" ht="23.25" hidden="false" customHeight="true" outlineLevel="0" collapsed="false">
      <c r="A18" s="6" t="n">
        <v>17</v>
      </c>
      <c r="B18" s="6" t="s">
        <v>15</v>
      </c>
      <c r="C18" s="7" t="s">
        <v>60</v>
      </c>
      <c r="D18" s="6" t="s">
        <v>61</v>
      </c>
      <c r="E18" s="6" t="s">
        <v>62</v>
      </c>
    </row>
    <row r="19" customFormat="false" ht="23.25" hidden="false" customHeight="true" outlineLevel="0" collapsed="false">
      <c r="A19" s="6" t="n">
        <v>18</v>
      </c>
      <c r="B19" s="6" t="s">
        <v>57</v>
      </c>
      <c r="C19" s="7" t="s">
        <v>63</v>
      </c>
      <c r="D19" s="6" t="s">
        <v>64</v>
      </c>
      <c r="E19" s="6" t="s">
        <v>62</v>
      </c>
    </row>
    <row r="20" customFormat="false" ht="23.25" hidden="false" customHeight="true" outlineLevel="0" collapsed="false">
      <c r="A20" s="6" t="n">
        <v>19</v>
      </c>
      <c r="B20" s="6" t="s">
        <v>30</v>
      </c>
      <c r="C20" s="7" t="s">
        <v>65</v>
      </c>
      <c r="D20" s="6" t="s">
        <v>66</v>
      </c>
      <c r="E20" s="6" t="s">
        <v>62</v>
      </c>
    </row>
    <row r="21" customFormat="false" ht="23.25" hidden="false" customHeight="true" outlineLevel="0" collapsed="false">
      <c r="A21" s="6" t="n">
        <v>20</v>
      </c>
      <c r="B21" s="6" t="s">
        <v>30</v>
      </c>
      <c r="C21" s="7" t="s">
        <v>67</v>
      </c>
      <c r="D21" s="6" t="s">
        <v>68</v>
      </c>
      <c r="E21" s="6" t="s">
        <v>62</v>
      </c>
    </row>
    <row r="22" customFormat="false" ht="23.25" hidden="false" customHeight="true" outlineLevel="0" collapsed="false">
      <c r="A22" s="6" t="n">
        <v>21</v>
      </c>
      <c r="B22" s="6" t="s">
        <v>30</v>
      </c>
      <c r="C22" s="7" t="s">
        <v>69</v>
      </c>
      <c r="D22" s="6" t="s">
        <v>70</v>
      </c>
      <c r="E22" s="6" t="s">
        <v>62</v>
      </c>
    </row>
    <row r="23" customFormat="false" ht="34.5" hidden="false" customHeight="true" outlineLevel="0" collapsed="false">
      <c r="A23" s="6" t="n">
        <v>22</v>
      </c>
      <c r="B23" s="6" t="s">
        <v>71</v>
      </c>
      <c r="C23" s="7" t="s">
        <v>72</v>
      </c>
      <c r="D23" s="6" t="s">
        <v>73</v>
      </c>
      <c r="E23" s="6" t="s">
        <v>74</v>
      </c>
    </row>
    <row r="24" customFormat="false" ht="23.25" hidden="false" customHeight="true" outlineLevel="0" collapsed="false">
      <c r="A24" s="6" t="n">
        <v>23</v>
      </c>
      <c r="B24" s="6" t="s">
        <v>71</v>
      </c>
      <c r="C24" s="7" t="s">
        <v>75</v>
      </c>
      <c r="D24" s="6" t="s">
        <v>76</v>
      </c>
      <c r="E24" s="6" t="s">
        <v>77</v>
      </c>
    </row>
    <row r="25" customFormat="false" ht="23.25" hidden="false" customHeight="true" outlineLevel="0" collapsed="false">
      <c r="A25" s="6" t="n">
        <v>24</v>
      </c>
      <c r="B25" s="6" t="s">
        <v>78</v>
      </c>
      <c r="C25" s="7" t="s">
        <v>79</v>
      </c>
      <c r="D25" s="6" t="s">
        <v>80</v>
      </c>
      <c r="E25" s="6" t="s">
        <v>77</v>
      </c>
    </row>
    <row r="26" customFormat="false" ht="23.25" hidden="false" customHeight="true" outlineLevel="0" collapsed="false">
      <c r="A26" s="6" t="n">
        <v>25</v>
      </c>
      <c r="B26" s="6" t="s">
        <v>81</v>
      </c>
      <c r="C26" s="7" t="s">
        <v>82</v>
      </c>
      <c r="D26" s="6" t="s">
        <v>83</v>
      </c>
      <c r="E26" s="6" t="s">
        <v>77</v>
      </c>
    </row>
    <row r="27" customFormat="false" ht="23.25" hidden="false" customHeight="true" outlineLevel="0" collapsed="false">
      <c r="A27" s="6" t="n">
        <v>26</v>
      </c>
      <c r="B27" s="6" t="s">
        <v>81</v>
      </c>
      <c r="C27" s="7" t="s">
        <v>84</v>
      </c>
      <c r="D27" s="6" t="s">
        <v>85</v>
      </c>
      <c r="E27" s="6" t="s">
        <v>77</v>
      </c>
    </row>
    <row r="28" customFormat="false" ht="23.25" hidden="false" customHeight="true" outlineLevel="0" collapsed="false">
      <c r="A28" s="6" t="n">
        <v>27</v>
      </c>
      <c r="B28" s="6" t="s">
        <v>81</v>
      </c>
      <c r="C28" s="7" t="s">
        <v>86</v>
      </c>
      <c r="D28" s="6" t="s">
        <v>87</v>
      </c>
      <c r="E28" s="6" t="s">
        <v>77</v>
      </c>
    </row>
    <row r="29" customFormat="false" ht="23.25" hidden="false" customHeight="true" outlineLevel="0" collapsed="false">
      <c r="A29" s="6" t="n">
        <v>28</v>
      </c>
      <c r="B29" s="6" t="s">
        <v>88</v>
      </c>
      <c r="C29" s="7" t="s">
        <v>89</v>
      </c>
      <c r="D29" s="6" t="s">
        <v>90</v>
      </c>
      <c r="E29" s="6" t="s">
        <v>77</v>
      </c>
    </row>
    <row r="30" customFormat="false" ht="34.5" hidden="false" customHeight="true" outlineLevel="0" collapsed="false">
      <c r="A30" s="6" t="n">
        <v>29</v>
      </c>
      <c r="B30" s="6" t="s">
        <v>91</v>
      </c>
      <c r="C30" s="7" t="s">
        <v>92</v>
      </c>
      <c r="D30" s="6" t="s">
        <v>93</v>
      </c>
      <c r="E30" s="6" t="s">
        <v>77</v>
      </c>
    </row>
    <row r="31" customFormat="false" ht="34.5" hidden="false" customHeight="true" outlineLevel="0" collapsed="false">
      <c r="A31" s="6" t="n">
        <v>30</v>
      </c>
      <c r="B31" s="6" t="s">
        <v>53</v>
      </c>
      <c r="C31" s="7" t="s">
        <v>94</v>
      </c>
      <c r="D31" s="6" t="s">
        <v>95</v>
      </c>
      <c r="E31" s="6" t="s">
        <v>96</v>
      </c>
    </row>
    <row r="32" customFormat="false" ht="45.75" hidden="false" customHeight="true" outlineLevel="0" collapsed="false">
      <c r="A32" s="6" t="n">
        <v>31</v>
      </c>
      <c r="B32" s="6" t="s">
        <v>25</v>
      </c>
      <c r="C32" s="7" t="s">
        <v>97</v>
      </c>
      <c r="D32" s="6" t="s">
        <v>98</v>
      </c>
      <c r="E32" s="6" t="s">
        <v>77</v>
      </c>
    </row>
    <row r="33" customFormat="false" ht="57" hidden="false" customHeight="true" outlineLevel="0" collapsed="false">
      <c r="A33" s="6" t="n">
        <v>32</v>
      </c>
      <c r="B33" s="6" t="s">
        <v>30</v>
      </c>
      <c r="C33" s="7" t="s">
        <v>99</v>
      </c>
      <c r="D33" s="6" t="s">
        <v>100</v>
      </c>
      <c r="E33" s="6" t="s">
        <v>77</v>
      </c>
    </row>
    <row r="34" customFormat="false" ht="57" hidden="false" customHeight="true" outlineLevel="0" collapsed="false">
      <c r="A34" s="6" t="n">
        <v>33</v>
      </c>
      <c r="B34" s="6" t="s">
        <v>53</v>
      </c>
      <c r="C34" s="7" t="s">
        <v>101</v>
      </c>
      <c r="D34" s="6" t="s">
        <v>102</v>
      </c>
      <c r="E34" s="6" t="s">
        <v>77</v>
      </c>
    </row>
    <row r="35" customFormat="false" ht="57" hidden="false" customHeight="true" outlineLevel="0" collapsed="false">
      <c r="A35" s="6" t="n">
        <v>34</v>
      </c>
      <c r="B35" s="6" t="s">
        <v>15</v>
      </c>
      <c r="C35" s="7" t="s">
        <v>103</v>
      </c>
      <c r="D35" s="6" t="s">
        <v>104</v>
      </c>
      <c r="E35" s="6" t="s">
        <v>96</v>
      </c>
    </row>
    <row r="36" customFormat="false" ht="90.75" hidden="false" customHeight="true" outlineLevel="0" collapsed="false">
      <c r="A36" s="6" t="n">
        <v>35</v>
      </c>
      <c r="B36" s="6" t="s">
        <v>30</v>
      </c>
      <c r="C36" s="7" t="s">
        <v>105</v>
      </c>
      <c r="D36" s="6" t="s">
        <v>106</v>
      </c>
      <c r="E36" s="6" t="s">
        <v>96</v>
      </c>
    </row>
    <row r="37" customFormat="false" ht="90.75" hidden="false" customHeight="true" outlineLevel="0" collapsed="false">
      <c r="A37" s="6" t="n">
        <v>36</v>
      </c>
      <c r="B37" s="6" t="s">
        <v>30</v>
      </c>
      <c r="C37" s="7" t="s">
        <v>107</v>
      </c>
      <c r="D37" s="6" t="s">
        <v>108</v>
      </c>
      <c r="E37" s="6" t="s">
        <v>109</v>
      </c>
    </row>
    <row r="38" customFormat="false" ht="90.75" hidden="false" customHeight="true" outlineLevel="0" collapsed="false">
      <c r="A38" s="6" t="n">
        <v>37</v>
      </c>
      <c r="B38" s="6" t="s">
        <v>30</v>
      </c>
      <c r="C38" s="7" t="s">
        <v>110</v>
      </c>
      <c r="D38" s="6" t="s">
        <v>111</v>
      </c>
      <c r="E38" s="6" t="s">
        <v>109</v>
      </c>
    </row>
    <row r="39" customFormat="false" ht="90.75" hidden="false" customHeight="true" outlineLevel="0" collapsed="false">
      <c r="A39" s="6" t="n">
        <v>38</v>
      </c>
      <c r="B39" s="6" t="s">
        <v>57</v>
      </c>
      <c r="C39" s="7" t="s">
        <v>112</v>
      </c>
      <c r="D39" s="6" t="s">
        <v>113</v>
      </c>
      <c r="E39" s="6" t="s">
        <v>109</v>
      </c>
    </row>
    <row r="40" customFormat="false" ht="90.75" hidden="false" customHeight="true" outlineLevel="0" collapsed="false">
      <c r="A40" s="6" t="n">
        <v>39</v>
      </c>
      <c r="B40" s="6" t="s">
        <v>91</v>
      </c>
      <c r="C40" s="7" t="s">
        <v>114</v>
      </c>
      <c r="D40" s="6" t="s">
        <v>115</v>
      </c>
      <c r="E40" s="6" t="s">
        <v>109</v>
      </c>
    </row>
    <row r="41" customFormat="false" ht="90.75" hidden="false" customHeight="true" outlineLevel="0" collapsed="false">
      <c r="A41" s="6" t="n">
        <v>40</v>
      </c>
      <c r="B41" s="6" t="s">
        <v>116</v>
      </c>
      <c r="C41" s="7" t="s">
        <v>117</v>
      </c>
      <c r="D41" s="6" t="s">
        <v>118</v>
      </c>
      <c r="E41" s="6" t="s">
        <v>109</v>
      </c>
    </row>
    <row r="42" customFormat="false" ht="90.75" hidden="false" customHeight="true" outlineLevel="0" collapsed="false">
      <c r="A42" s="6" t="n">
        <v>41</v>
      </c>
      <c r="B42" s="6" t="s">
        <v>30</v>
      </c>
      <c r="C42" s="7" t="s">
        <v>119</v>
      </c>
      <c r="D42" s="6" t="s">
        <v>120</v>
      </c>
      <c r="E42" s="6" t="s">
        <v>109</v>
      </c>
    </row>
  </sheetData>
  <autoFilter ref="A1:E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32"/>
    <col collapsed="false" customWidth="true" hidden="false" outlineLevel="0" max="4" min="4" style="1" width="65"/>
    <col collapsed="false" customWidth="true" hidden="false" outlineLevel="0" max="5" min="5" style="1" width="12"/>
  </cols>
  <sheetData>
    <row r="1" customFormat="false" ht="25.5" hidden="false" customHeight="true" outlineLevel="0" collapsed="false">
      <c r="A1" s="5" t="s">
        <v>10</v>
      </c>
      <c r="B1" s="5" t="s">
        <v>11</v>
      </c>
      <c r="C1" s="5" t="s">
        <v>12</v>
      </c>
      <c r="D1" s="5" t="s">
        <v>13</v>
      </c>
      <c r="E1" s="5" t="s">
        <v>121</v>
      </c>
    </row>
    <row r="2" customFormat="false" ht="23.25" hidden="false" customHeight="true" outlineLevel="0" collapsed="false">
      <c r="A2" s="8" t="n">
        <v>1</v>
      </c>
      <c r="B2" s="8" t="s">
        <v>15</v>
      </c>
      <c r="C2" s="9" t="s">
        <v>122</v>
      </c>
      <c r="D2" s="8" t="s">
        <v>123</v>
      </c>
      <c r="E2" s="10" t="s">
        <v>124</v>
      </c>
    </row>
    <row r="3" customFormat="false" ht="23.25" hidden="false" customHeight="true" outlineLevel="0" collapsed="false">
      <c r="A3" s="8" t="n">
        <v>2</v>
      </c>
      <c r="B3" s="8" t="s">
        <v>25</v>
      </c>
      <c r="C3" s="9" t="s">
        <v>125</v>
      </c>
      <c r="D3" s="8" t="s">
        <v>126</v>
      </c>
      <c r="E3" s="10" t="s">
        <v>124</v>
      </c>
    </row>
    <row r="4" customFormat="false" ht="23.25" hidden="false" customHeight="true" outlineLevel="0" collapsed="false">
      <c r="A4" s="8" t="n">
        <v>3</v>
      </c>
      <c r="B4" s="8" t="s">
        <v>81</v>
      </c>
      <c r="C4" s="9" t="s">
        <v>127</v>
      </c>
      <c r="D4" s="8" t="s">
        <v>128</v>
      </c>
      <c r="E4" s="11" t="s">
        <v>129</v>
      </c>
    </row>
    <row r="5" customFormat="false" ht="23.25" hidden="false" customHeight="true" outlineLevel="0" collapsed="false">
      <c r="A5" s="8" t="n">
        <v>4</v>
      </c>
      <c r="B5" s="8" t="s">
        <v>130</v>
      </c>
      <c r="C5" s="9" t="s">
        <v>131</v>
      </c>
      <c r="D5" s="8" t="s">
        <v>132</v>
      </c>
      <c r="E5" s="11" t="s">
        <v>129</v>
      </c>
    </row>
    <row r="6" customFormat="false" ht="34.5" hidden="false" customHeight="true" outlineLevel="0" collapsed="false">
      <c r="A6" s="8" t="n">
        <v>5</v>
      </c>
      <c r="B6" s="8" t="s">
        <v>133</v>
      </c>
      <c r="C6" s="9" t="s">
        <v>134</v>
      </c>
      <c r="D6" s="8" t="s">
        <v>135</v>
      </c>
      <c r="E6" s="12" t="s">
        <v>136</v>
      </c>
    </row>
    <row r="7" customFormat="false" ht="23.25" hidden="false" customHeight="true" outlineLevel="0" collapsed="false">
      <c r="A7" s="8" t="n">
        <v>6</v>
      </c>
      <c r="B7" s="8" t="s">
        <v>133</v>
      </c>
      <c r="C7" s="9" t="s">
        <v>137</v>
      </c>
      <c r="D7" s="8" t="s">
        <v>138</v>
      </c>
      <c r="E7" s="12" t="s">
        <v>136</v>
      </c>
    </row>
    <row r="8" customFormat="false" ht="23.25" hidden="false" customHeight="true" outlineLevel="0" collapsed="false">
      <c r="A8" s="8" t="n">
        <v>7</v>
      </c>
      <c r="B8" s="8" t="s">
        <v>133</v>
      </c>
      <c r="C8" s="9" t="s">
        <v>139</v>
      </c>
      <c r="D8" s="8" t="s">
        <v>140</v>
      </c>
      <c r="E8" s="12" t="s">
        <v>136</v>
      </c>
    </row>
    <row r="9" customFormat="false" ht="23.25" hidden="false" customHeight="true" outlineLevel="0" collapsed="false">
      <c r="A9" s="8" t="n">
        <v>8</v>
      </c>
      <c r="B9" s="8" t="s">
        <v>133</v>
      </c>
      <c r="C9" s="9" t="s">
        <v>141</v>
      </c>
      <c r="D9" s="8" t="s">
        <v>142</v>
      </c>
      <c r="E9" s="12" t="s">
        <v>136</v>
      </c>
    </row>
    <row r="10" customFormat="false" ht="23.25" hidden="false" customHeight="true" outlineLevel="0" collapsed="false">
      <c r="A10" s="8" t="n">
        <v>9</v>
      </c>
      <c r="B10" s="8" t="s">
        <v>133</v>
      </c>
      <c r="C10" s="9" t="s">
        <v>143</v>
      </c>
      <c r="D10" s="8" t="s">
        <v>144</v>
      </c>
      <c r="E10" s="12" t="s">
        <v>136</v>
      </c>
    </row>
    <row r="11" customFormat="false" ht="23.25" hidden="false" customHeight="true" outlineLevel="0" collapsed="false">
      <c r="A11" s="8" t="n">
        <v>10</v>
      </c>
      <c r="B11" s="8" t="s">
        <v>133</v>
      </c>
      <c r="C11" s="9" t="s">
        <v>145</v>
      </c>
      <c r="D11" s="8" t="s">
        <v>146</v>
      </c>
      <c r="E11" s="12" t="s">
        <v>136</v>
      </c>
    </row>
    <row r="12" customFormat="false" ht="23.25" hidden="false" customHeight="true" outlineLevel="0" collapsed="false">
      <c r="A12" s="8" t="n">
        <v>11</v>
      </c>
      <c r="B12" s="8" t="s">
        <v>133</v>
      </c>
      <c r="C12" s="9" t="s">
        <v>147</v>
      </c>
      <c r="D12" s="8" t="s">
        <v>148</v>
      </c>
      <c r="E12" s="12" t="s">
        <v>136</v>
      </c>
    </row>
    <row r="13" customFormat="false" ht="23.25" hidden="false" customHeight="true" outlineLevel="0" collapsed="false">
      <c r="A13" s="8" t="n">
        <v>12</v>
      </c>
      <c r="B13" s="8" t="s">
        <v>133</v>
      </c>
      <c r="C13" s="9" t="s">
        <v>149</v>
      </c>
      <c r="D13" s="8" t="s">
        <v>150</v>
      </c>
      <c r="E13" s="12" t="s">
        <v>136</v>
      </c>
    </row>
    <row r="14" customFormat="false" ht="23.25" hidden="false" customHeight="true" outlineLevel="0" collapsed="false">
      <c r="A14" s="8" t="n">
        <v>13</v>
      </c>
      <c r="B14" s="8" t="s">
        <v>133</v>
      </c>
      <c r="C14" s="9" t="s">
        <v>151</v>
      </c>
      <c r="D14" s="8" t="s">
        <v>152</v>
      </c>
      <c r="E14" s="12" t="s">
        <v>136</v>
      </c>
    </row>
    <row r="15" customFormat="false" ht="68.25" hidden="false" customHeight="true" outlineLevel="0" collapsed="false">
      <c r="A15" s="8" t="n">
        <v>14</v>
      </c>
      <c r="B15" s="8" t="s">
        <v>133</v>
      </c>
      <c r="C15" s="9" t="s">
        <v>153</v>
      </c>
      <c r="D15" s="8" t="s">
        <v>154</v>
      </c>
      <c r="E15" s="12" t="s">
        <v>136</v>
      </c>
    </row>
    <row r="16" customFormat="false" ht="68.25" hidden="false" customHeight="true" outlineLevel="0" collapsed="false">
      <c r="A16" s="8" t="n">
        <v>15</v>
      </c>
      <c r="B16" s="8" t="s">
        <v>133</v>
      </c>
      <c r="C16" s="9" t="s">
        <v>155</v>
      </c>
      <c r="D16" s="8" t="s">
        <v>156</v>
      </c>
      <c r="E16" s="12" t="s">
        <v>136</v>
      </c>
    </row>
    <row r="17" customFormat="false" ht="68.25" hidden="false" customHeight="true" outlineLevel="0" collapsed="false">
      <c r="A17" s="8" t="n">
        <v>16</v>
      </c>
      <c r="B17" s="8" t="s">
        <v>133</v>
      </c>
      <c r="C17" s="9" t="s">
        <v>157</v>
      </c>
      <c r="D17" s="8" t="s">
        <v>158</v>
      </c>
      <c r="E17" s="12" t="s">
        <v>136</v>
      </c>
    </row>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32"/>
    <col collapsed="false" customWidth="true" hidden="false" outlineLevel="0" max="4" min="4" style="1" width="55"/>
    <col collapsed="false" customWidth="true" hidden="false" outlineLevel="0" max="5" min="5" style="1" width="45"/>
  </cols>
  <sheetData>
    <row r="1" customFormat="false" ht="25.5" hidden="false" customHeight="true" outlineLevel="0" collapsed="false">
      <c r="A1" s="5" t="s">
        <v>10</v>
      </c>
      <c r="B1" s="5" t="s">
        <v>11</v>
      </c>
      <c r="C1" s="5" t="s">
        <v>12</v>
      </c>
      <c r="D1" s="5" t="s">
        <v>13</v>
      </c>
      <c r="E1" s="5" t="s">
        <v>159</v>
      </c>
    </row>
    <row r="2" customFormat="false" ht="23.25" hidden="false" customHeight="true" outlineLevel="0" collapsed="false">
      <c r="A2" s="13" t="n">
        <v>1</v>
      </c>
      <c r="B2" s="13" t="s">
        <v>160</v>
      </c>
      <c r="C2" s="14" t="s">
        <v>161</v>
      </c>
      <c r="D2" s="13" t="s">
        <v>162</v>
      </c>
      <c r="E2" s="13" t="s">
        <v>163</v>
      </c>
    </row>
    <row r="3" customFormat="false" ht="23.25" hidden="false" customHeight="true" outlineLevel="0" collapsed="false">
      <c r="A3" s="13" t="n">
        <v>2</v>
      </c>
      <c r="B3" s="13" t="s">
        <v>15</v>
      </c>
      <c r="C3" s="14" t="s">
        <v>164</v>
      </c>
      <c r="D3" s="13" t="s">
        <v>165</v>
      </c>
      <c r="E3" s="13" t="s">
        <v>166</v>
      </c>
    </row>
    <row r="4" customFormat="false" ht="34.5" hidden="false" customHeight="true" outlineLevel="0" collapsed="false">
      <c r="A4" s="13" t="n">
        <v>3</v>
      </c>
      <c r="B4" s="13" t="s">
        <v>160</v>
      </c>
      <c r="C4" s="14" t="s">
        <v>167</v>
      </c>
      <c r="D4" s="13" t="s">
        <v>168</v>
      </c>
      <c r="E4" s="13" t="s">
        <v>169</v>
      </c>
    </row>
    <row r="5" customFormat="false" ht="23.25" hidden="false" customHeight="true" outlineLevel="0" collapsed="false">
      <c r="A5" s="13" t="n">
        <v>4</v>
      </c>
      <c r="B5" s="13" t="s">
        <v>170</v>
      </c>
      <c r="C5" s="14" t="s">
        <v>171</v>
      </c>
      <c r="D5" s="13" t="s">
        <v>172</v>
      </c>
      <c r="E5" s="13" t="s">
        <v>173</v>
      </c>
    </row>
    <row r="6" customFormat="false" ht="23.25" hidden="false" customHeight="true" outlineLevel="0" collapsed="false">
      <c r="A6" s="13" t="n">
        <v>5</v>
      </c>
      <c r="B6" s="13" t="s">
        <v>174</v>
      </c>
      <c r="C6" s="14" t="s">
        <v>175</v>
      </c>
      <c r="D6" s="13" t="s">
        <v>176</v>
      </c>
      <c r="E6" s="13" t="s">
        <v>177</v>
      </c>
    </row>
    <row r="7" customFormat="false" ht="23.25" hidden="false" customHeight="true" outlineLevel="0" collapsed="false">
      <c r="A7" s="13" t="n">
        <v>6</v>
      </c>
      <c r="B7" s="13" t="s">
        <v>174</v>
      </c>
      <c r="C7" s="14" t="s">
        <v>178</v>
      </c>
      <c r="D7" s="13" t="s">
        <v>179</v>
      </c>
      <c r="E7" s="13" t="s">
        <v>180</v>
      </c>
    </row>
    <row r="8" customFormat="false" ht="34.5" hidden="false" customHeight="true" outlineLevel="0" collapsed="false">
      <c r="A8" s="13" t="n">
        <v>7</v>
      </c>
      <c r="B8" s="13" t="s">
        <v>174</v>
      </c>
      <c r="C8" s="14" t="s">
        <v>181</v>
      </c>
      <c r="D8" s="13" t="s">
        <v>182</v>
      </c>
      <c r="E8" s="13" t="s">
        <v>183</v>
      </c>
    </row>
    <row r="9" customFormat="false" ht="23.25" hidden="false" customHeight="true" outlineLevel="0" collapsed="false">
      <c r="A9" s="13" t="n">
        <v>8</v>
      </c>
      <c r="B9" s="13" t="s">
        <v>170</v>
      </c>
      <c r="C9" s="14" t="s">
        <v>184</v>
      </c>
      <c r="D9" s="13" t="s">
        <v>185</v>
      </c>
      <c r="E9" s="13" t="s">
        <v>177</v>
      </c>
    </row>
    <row r="10" customFormat="false" ht="23.25" hidden="false" customHeight="true" outlineLevel="0" collapsed="false">
      <c r="A10" s="13" t="n">
        <v>9</v>
      </c>
      <c r="B10" s="13" t="s">
        <v>170</v>
      </c>
      <c r="C10" s="14" t="s">
        <v>186</v>
      </c>
      <c r="D10" s="13" t="s">
        <v>187</v>
      </c>
      <c r="E10" s="13" t="s">
        <v>177</v>
      </c>
    </row>
    <row r="11" customFormat="false" ht="23.25" hidden="false" customHeight="true" outlineLevel="0" collapsed="false">
      <c r="A11" s="13" t="n">
        <v>10</v>
      </c>
      <c r="B11" s="13" t="s">
        <v>170</v>
      </c>
      <c r="C11" s="14" t="s">
        <v>188</v>
      </c>
      <c r="D11" s="13" t="s">
        <v>189</v>
      </c>
      <c r="E11" s="13" t="s">
        <v>177</v>
      </c>
    </row>
    <row r="12" customFormat="false" ht="23.25" hidden="false" customHeight="true" outlineLevel="0" collapsed="false">
      <c r="A12" s="13" t="n">
        <v>11</v>
      </c>
      <c r="B12" s="13" t="s">
        <v>190</v>
      </c>
      <c r="C12" s="14" t="s">
        <v>191</v>
      </c>
      <c r="D12" s="13" t="s">
        <v>192</v>
      </c>
      <c r="E12" s="13" t="s">
        <v>193</v>
      </c>
    </row>
    <row r="13" customFormat="false" ht="23.25" hidden="false" customHeight="true" outlineLevel="0" collapsed="false">
      <c r="A13" s="13" t="n">
        <v>12</v>
      </c>
      <c r="B13" s="13" t="s">
        <v>190</v>
      </c>
      <c r="C13" s="14" t="s">
        <v>194</v>
      </c>
      <c r="D13" s="13" t="s">
        <v>195</v>
      </c>
      <c r="E13" s="13" t="s">
        <v>196</v>
      </c>
    </row>
    <row r="14" customFormat="false" ht="23.25" hidden="false" customHeight="true" outlineLevel="0" collapsed="false">
      <c r="A14" s="13" t="n">
        <v>13</v>
      </c>
      <c r="B14" s="13" t="s">
        <v>197</v>
      </c>
      <c r="C14" s="14" t="s">
        <v>198</v>
      </c>
      <c r="D14" s="13" t="s">
        <v>199</v>
      </c>
      <c r="E14" s="13" t="s">
        <v>200</v>
      </c>
    </row>
    <row r="15" customFormat="false" ht="57" hidden="false" customHeight="true" outlineLevel="0" collapsed="false">
      <c r="A15" s="13" t="n">
        <v>14</v>
      </c>
      <c r="B15" s="13" t="s">
        <v>174</v>
      </c>
      <c r="C15" s="14" t="s">
        <v>201</v>
      </c>
      <c r="D15" s="13" t="s">
        <v>202</v>
      </c>
      <c r="E15" s="13" t="s">
        <v>203</v>
      </c>
    </row>
    <row r="16" customFormat="false" ht="23.25" hidden="false" customHeight="true" outlineLevel="0" collapsed="false"/>
  </sheetData>
  <autoFilter ref="A1:E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6"/>
    <col collapsed="false" customWidth="true" hidden="false" outlineLevel="0" max="3" min="3" style="1" width="48"/>
    <col collapsed="false" customWidth="true" hidden="false" outlineLevel="0" max="4" min="4" style="1" width="16"/>
    <col collapsed="false" customWidth="true" hidden="false" outlineLevel="0" max="6" min="5" style="1" width="10"/>
    <col collapsed="false" customWidth="true" hidden="false" outlineLevel="0" max="7" min="7" style="1" width="45"/>
  </cols>
  <sheetData>
    <row r="1" customFormat="false" ht="25.5" hidden="false" customHeight="true" outlineLevel="0" collapsed="false">
      <c r="A1" s="5" t="s">
        <v>10</v>
      </c>
      <c r="B1" s="5" t="s">
        <v>30</v>
      </c>
      <c r="C1" s="5" t="s">
        <v>204</v>
      </c>
      <c r="D1" s="5" t="s">
        <v>205</v>
      </c>
      <c r="E1" s="5" t="s">
        <v>206</v>
      </c>
      <c r="F1" s="5" t="s">
        <v>207</v>
      </c>
      <c r="G1" s="5" t="s">
        <v>208</v>
      </c>
    </row>
    <row r="2" customFormat="false" ht="34.5" hidden="false" customHeight="true" outlineLevel="0" collapsed="false">
      <c r="A2" s="8" t="n">
        <v>1</v>
      </c>
      <c r="B2" s="9" t="s">
        <v>209</v>
      </c>
      <c r="C2" s="8" t="s">
        <v>210</v>
      </c>
      <c r="D2" s="8" t="s">
        <v>211</v>
      </c>
      <c r="E2" s="11" t="s">
        <v>212</v>
      </c>
      <c r="F2" s="8" t="s">
        <v>212</v>
      </c>
      <c r="G2" s="8" t="s">
        <v>213</v>
      </c>
    </row>
    <row r="3" customFormat="false" ht="57" hidden="false" customHeight="true" outlineLevel="0" collapsed="false">
      <c r="A3" s="8" t="n">
        <v>2</v>
      </c>
      <c r="B3" s="9" t="s">
        <v>214</v>
      </c>
      <c r="C3" s="8" t="s">
        <v>215</v>
      </c>
      <c r="D3" s="8" t="s">
        <v>216</v>
      </c>
      <c r="E3" s="7" t="s">
        <v>129</v>
      </c>
      <c r="F3" s="8" t="s">
        <v>212</v>
      </c>
      <c r="G3" s="8" t="s">
        <v>217</v>
      </c>
    </row>
    <row r="4" customFormat="false" ht="57" hidden="false" customHeight="true" outlineLevel="0" collapsed="false">
      <c r="A4" s="8" t="n">
        <v>3</v>
      </c>
      <c r="B4" s="9" t="s">
        <v>218</v>
      </c>
      <c r="C4" s="8" t="s">
        <v>219</v>
      </c>
      <c r="D4" s="8" t="s">
        <v>216</v>
      </c>
      <c r="E4" s="7" t="s">
        <v>129</v>
      </c>
      <c r="F4" s="8" t="s">
        <v>212</v>
      </c>
      <c r="G4" s="8" t="s">
        <v>220</v>
      </c>
    </row>
    <row r="5" customFormat="false" ht="34.5" hidden="false" customHeight="true" outlineLevel="0" collapsed="false">
      <c r="A5" s="8" t="n">
        <v>4</v>
      </c>
      <c r="B5" s="9" t="s">
        <v>221</v>
      </c>
      <c r="C5" s="8" t="s">
        <v>222</v>
      </c>
      <c r="D5" s="8" t="s">
        <v>223</v>
      </c>
      <c r="E5" s="11" t="s">
        <v>212</v>
      </c>
      <c r="F5" s="8" t="s">
        <v>212</v>
      </c>
      <c r="G5" s="8" t="s">
        <v>224</v>
      </c>
    </row>
    <row r="6" customFormat="false" ht="34.5" hidden="false" customHeight="true" outlineLevel="0" collapsed="false">
      <c r="A6" s="8" t="n">
        <v>5</v>
      </c>
      <c r="B6" s="9" t="s">
        <v>225</v>
      </c>
      <c r="C6" s="8" t="s">
        <v>226</v>
      </c>
      <c r="D6" s="8" t="s">
        <v>211</v>
      </c>
      <c r="E6" s="7" t="s">
        <v>129</v>
      </c>
      <c r="F6" s="8" t="s">
        <v>227</v>
      </c>
      <c r="G6" s="8" t="s">
        <v>228</v>
      </c>
    </row>
    <row r="7" customFormat="false" ht="23.25" hidden="false" customHeight="true" outlineLevel="0" collapsed="false">
      <c r="A7" s="8" t="n">
        <v>6</v>
      </c>
      <c r="B7" s="9" t="s">
        <v>229</v>
      </c>
      <c r="C7" s="8" t="s">
        <v>230</v>
      </c>
      <c r="D7" s="8" t="s">
        <v>211</v>
      </c>
      <c r="E7" s="11" t="s">
        <v>212</v>
      </c>
      <c r="F7" s="8" t="s">
        <v>227</v>
      </c>
      <c r="G7" s="8" t="s">
        <v>231</v>
      </c>
    </row>
    <row r="8" customFormat="false" ht="34.5" hidden="false" customHeight="true" outlineLevel="0" collapsed="false">
      <c r="A8" s="8" t="n">
        <v>7</v>
      </c>
      <c r="B8" s="9" t="s">
        <v>232</v>
      </c>
      <c r="C8" s="8" t="s">
        <v>233</v>
      </c>
      <c r="D8" s="8" t="s">
        <v>211</v>
      </c>
      <c r="E8" s="12" t="s">
        <v>234</v>
      </c>
      <c r="F8" s="8" t="s">
        <v>227</v>
      </c>
      <c r="G8" s="8" t="s">
        <v>235</v>
      </c>
    </row>
    <row r="9" customFormat="false" ht="68.25" hidden="false" customHeight="true" outlineLevel="0" collapsed="false">
      <c r="A9" s="8" t="n">
        <v>8</v>
      </c>
      <c r="B9" s="9" t="s">
        <v>236</v>
      </c>
      <c r="C9" s="8" t="s">
        <v>237</v>
      </c>
      <c r="D9" s="8" t="s">
        <v>211</v>
      </c>
      <c r="E9" s="11" t="s">
        <v>212</v>
      </c>
      <c r="F9" s="8" t="s">
        <v>212</v>
      </c>
      <c r="G9" s="8" t="s">
        <v>238</v>
      </c>
    </row>
    <row r="10" customFormat="false" ht="68.25" hidden="false" customHeight="true" outlineLevel="0" collapsed="false">
      <c r="A10" s="8" t="n">
        <v>9</v>
      </c>
      <c r="B10" s="9" t="s">
        <v>239</v>
      </c>
      <c r="C10" s="8" t="s">
        <v>240</v>
      </c>
      <c r="D10" s="8" t="s">
        <v>211</v>
      </c>
      <c r="E10" s="12" t="s">
        <v>234</v>
      </c>
      <c r="F10" s="8" t="s">
        <v>241</v>
      </c>
      <c r="G10" s="8" t="s">
        <v>242</v>
      </c>
    </row>
  </sheetData>
  <autoFilter ref="A1:G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s>
  <sheetData>
    <row r="1" customFormat="false" ht="17.25" hidden="false" customHeight="true" outlineLevel="0" collapsed="false">
      <c r="A1" s="15" t="s">
        <v>243</v>
      </c>
    </row>
    <row r="3" customFormat="false" ht="15" hidden="false" customHeight="true" outlineLevel="0" collapsed="false">
      <c r="A3" s="16" t="s">
        <v>244</v>
      </c>
      <c r="B3" s="17" t="n">
        <f aca="false">COUNT(Completed!A:A)</f>
        <v>41</v>
      </c>
    </row>
    <row r="4" customFormat="false" ht="15" hidden="false" customHeight="true" outlineLevel="0" collapsed="false">
      <c r="A4" s="16" t="s">
        <v>245</v>
      </c>
      <c r="B4" s="17" t="n">
        <f aca="false">COUNT(Pending!A:A)</f>
        <v>16</v>
      </c>
    </row>
    <row r="5" customFormat="false" ht="15" hidden="false" customHeight="true" outlineLevel="0" collapsed="false">
      <c r="A5" s="18" t="s">
        <v>246</v>
      </c>
      <c r="B5" s="17" t="n">
        <f aca="false">COUNTIF(Pending!E:E,"Urgent")</f>
        <v>2</v>
      </c>
    </row>
    <row r="6" customFormat="false" ht="15" hidden="false" customHeight="true" outlineLevel="0" collapsed="false">
      <c r="A6" s="16" t="s">
        <v>247</v>
      </c>
      <c r="B6" s="17" t="n">
        <f aca="false">COUNT('On Hold'!A:A)</f>
        <v>14</v>
      </c>
    </row>
    <row r="7" customFormat="false" ht="15" hidden="false" customHeight="true" outlineLevel="0" collapsed="false">
      <c r="A7" s="16" t="s">
        <v>248</v>
      </c>
      <c r="B7" s="17" t="n">
        <f aca="false">COUNT('New Features (Backlog)'!A:A)</f>
        <v>9</v>
      </c>
    </row>
    <row r="8" customFormat="false" ht="15" hidden="false" customHeight="true" outlineLevel="0" collapsed="false">
      <c r="A8" s="18" t="s">
        <v>249</v>
      </c>
      <c r="B8" s="17" t="n">
        <f aca="false">COUNTIF('New Features (Backlog)'!E:E,"High")</f>
        <v>3</v>
      </c>
    </row>
    <row r="10" customFormat="false" ht="15" hidden="false" customHeight="true" outlineLevel="0" collapsed="false">
      <c r="A10" s="19" t="s">
        <v>250</v>
      </c>
      <c r="B10" s="19"/>
      <c r="C10" s="19"/>
      <c r="D10" s="19"/>
    </row>
    <row r="11" customFormat="false" ht="31.5" hidden="false" customHeight="true" outlineLevel="0" collapsed="false">
      <c r="A11" s="20" t="s">
        <v>251</v>
      </c>
      <c r="B11" s="20"/>
      <c r="C11" s="20"/>
      <c r="D11" s="20"/>
    </row>
    <row r="12" customFormat="false" ht="31.5" hidden="false" customHeight="true" outlineLevel="0" collapsed="false">
      <c r="A12" s="20" t="s">
        <v>252</v>
      </c>
      <c r="B12" s="20"/>
      <c r="C12" s="20"/>
      <c r="D12" s="20"/>
    </row>
    <row r="13" customFormat="false" ht="31.5" hidden="false" customHeight="true" outlineLevel="0" collapsed="false">
      <c r="A13" s="20" t="s">
        <v>253</v>
      </c>
      <c r="B13" s="20"/>
      <c r="C13" s="20"/>
      <c r="D13" s="20"/>
    </row>
    <row r="14" customFormat="false" ht="31.5" hidden="false" customHeight="true" outlineLevel="0" collapsed="false">
      <c r="A14" s="20" t="s">
        <v>254</v>
      </c>
      <c r="B14" s="20"/>
      <c r="C14" s="20"/>
      <c r="D14" s="20"/>
    </row>
    <row r="15" customFormat="false" ht="31.5" hidden="false" customHeight="true" outlineLevel="0" collapsed="false">
      <c r="A15" s="20" t="s">
        <v>255</v>
      </c>
      <c r="B15" s="20"/>
      <c r="C15" s="20"/>
      <c r="D15" s="20"/>
    </row>
    <row r="16" customFormat="false" ht="31.5" hidden="false" customHeight="true" outlineLevel="0" collapsed="false">
      <c r="A16" s="20" t="s">
        <v>256</v>
      </c>
      <c r="B16" s="20"/>
      <c r="C16" s="20"/>
      <c r="D16" s="20"/>
    </row>
    <row r="17" customFormat="false" ht="15" hidden="false" customHeight="true" outlineLevel="0" collapsed="false">
      <c r="A17" s="21" t="s">
        <v>257</v>
      </c>
    </row>
    <row r="18" customFormat="false" ht="15" hidden="false" customHeight="true" outlineLevel="0" collapsed="false">
      <c r="A18" s="21" t="s">
        <v>258</v>
      </c>
    </row>
  </sheetData>
  <mergeCells count="7">
    <mergeCell ref="A10:D10"/>
    <mergeCell ref="A11:D11"/>
    <mergeCell ref="A12:D12"/>
    <mergeCell ref="A13:D13"/>
    <mergeCell ref="A14:D14"/>
    <mergeCell ref="A15:D15"/>
    <mergeCell ref="A16:D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2026-08-25T17:20:00Z</dcterms:created>
  <dc:creator>openpyxl</dc:creator>
  <dc:description/>
  <dc:language>en-US</dc:language>
  <cp:lastModifiedBy/>
  <dcterms:modified xsi:type="dcterms:W3CDTF">2026-08-27T18:16:29Z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