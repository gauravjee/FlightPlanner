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tions" sheetId="1" state="visible" r:id="rId3"/>
    <sheet name="Completed" sheetId="2" state="visible" r:id="rId4"/>
    <sheet name="Pending" sheetId="3" state="visible" r:id="rId5"/>
    <sheet name="On Hold" sheetId="4" state="visible" r:id="rId6"/>
    <sheet name="New Features (Backlog)" sheetId="5" state="visible" r:id="rId7"/>
    <sheet name="Summary" sheetId="6" state="visible" r:id="rId8"/>
  </sheets>
  <definedNames>
    <definedName function="false" hidden="true" localSheetId="1" name="_xlnm._FilterDatabase" vbProcedure="false">Completed!$A$1:$E$36</definedName>
    <definedName function="false" hidden="true" localSheetId="4" name="_xlnm._FilterDatabase" vbProcedure="false">'New Features (Backlog)'!$A$1:$G$9</definedName>
    <definedName function="false" hidden="true" localSheetId="3" name="_xlnm._FilterDatabase" vbProcedure="false">'On Hold'!$A$1:$E$15</definedName>
    <definedName function="false" hidden="true" localSheetId="2" name="_xlnm._FilterDatabase" vbProcedure="false">Pending!$A$1:$E$15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<sst xmlns="http://schemas.openxmlformats.org/spreadsheetml/2006/main" count="348" uniqueCount="237">
  <si>
    <t xml:space="preserve">FlightPro Manager — Master Plan Tracker</t>
  </si>
  <si>
    <t xml:space="preserve">Purpose: one place to see everything completed, everything pending verification, everything deliberately on hold, and every not-yet-started feature — so the next piece of work can be picked with the full picture in view, not just whatever's top of mind.</t>
  </si>
  <si>
    <t xml:space="preserve">How this workbook is organized:</t>
  </si>
  <si>
    <t xml:space="preserve">  •  Completed — shipped and delivered to the real machine; not every row is committed/merged into production yet (several 2026-08-26 items are delivered-but-uncommitted or committed-to-main-only as of this update) — see the handoff doc for each item's exact git state.</t>
  </si>
  <si>
    <t xml:space="preserve">  •  Pending — code is done and live, but not yet functionally verified. The two Urgent rows are security/accessibility fixes already live on production without having been tested.</t>
  </si>
  <si>
    <t xml:space="preserve">  •  On Hold — explicitly deferred judgment calls and lower-priority findings. Nobody is actively working these; they're parked on purpose, not forgotten.</t>
  </si>
  <si>
    <t xml:space="preserve">  •  New Features (Backlog) — real candidates for what to build next. Each has an Impact and Effort rating and a short rationale to help compare them side by side.</t>
  </si>
  <si>
    <t xml:space="preserve">  •  Summary — counts per sheet and a suggested next-step ordering.</t>
  </si>
  <si>
    <t xml:space="preserve">Suggested reading order for a 'what's next' conversation: check Pending first (two Urgent rows are live-on-production-untested and should happen before any new feature work), then compare the New Features sheet's Impact/Effort columns to pick the next build.</t>
  </si>
  <si>
    <t xml:space="preserve">Source: compiled from the project's handoff doc (the authoritative running log, most recently /home/claude/handoff_work/final.md) as of 2026-08-26.</t>
  </si>
  <si>
    <t xml:space="preserve">#</t>
  </si>
  <si>
    <t xml:space="preserve">Area</t>
  </si>
  <si>
    <t xml:space="preserve">Item</t>
  </si>
  <si>
    <t xml:space="preserve">Details</t>
  </si>
  <si>
    <t xml:space="preserve">Date</t>
  </si>
  <si>
    <t xml:space="preserve">Security</t>
  </si>
  <si>
    <t xml:space="preserve">Admin Setup config-CRUD hardening</t>
  </si>
  <si>
    <t xml:space="preserve">Generic whitelisted route (/api/admin/config/[table]) replaces direct client-side Supabase writes for Exercises, Training Programs, Instructor Roles, Sortie Types, Ground School Subjects, Requirement Templates, Holidays.</t>
  </si>
  <si>
    <t xml:space="preserve">2026-08-24 (session 7)</t>
  </si>
  <si>
    <t xml:space="preserve">Aircraft Setup hardening</t>
  </si>
  <si>
    <t xml:space="preserve">Switched to the existing secured /api/aircraft route instead of direct Supabase writes.</t>
  </si>
  <si>
    <t xml:space="preserve">IDOR fix — Ground School Progress page</t>
  </si>
  <si>
    <t xml:space="preserve">Student login can no longer view another student's progress/DGCA data via the ?student= URL parameter.</t>
  </si>
  <si>
    <t xml:space="preserve">Forged exam records fix</t>
  </si>
  <si>
    <t xml:space="preserve">Direct Exam Entry now goes through a new server-side role-checked route instead of a client-side insert.</t>
  </si>
  <si>
    <t xml:space="preserve">Accessibility</t>
  </si>
  <si>
    <t xml:space="preserve">Escape-to-close on all modals</t>
  </si>
  <si>
    <t xml:space="preserve">Shared useEscapeToClose hook wired into all 15 custom modals.</t>
  </si>
  <si>
    <t xml:space="preserve">aria-label on Close buttons</t>
  </si>
  <si>
    <t xml:space="preserve">11 icon-only Close (X) buttons now have an accessible name.</t>
  </si>
  <si>
    <t xml:space="preserve">Feature</t>
  </si>
  <si>
    <t xml:space="preserve">Breath Analyser (BA) Test Register</t>
  </si>
  <si>
    <t xml:space="preserve">New table + secured API routes + data-entry page; Safety Officer role added; SPL/CPL license numbers captured for students/instructors.</t>
  </si>
  <si>
    <t xml:space="preserve">2026-08-19/20</t>
  </si>
  <si>
    <t xml:space="preserve">Breath Analysis Report page</t>
  </si>
  <si>
    <t xml:space="preserve">Separate Daily/Weekly/Monthly reporting view with PDF + Excel/CSV export, reusing the register's data.</t>
  </si>
  <si>
    <t xml:space="preserve">2026-08-20 (session 4)</t>
  </si>
  <si>
    <t xml:space="preserve">SPL/CPL Number required-on-completion</t>
  </si>
  <si>
    <t xml:space="preserve">Student Pilot License / CPL number now required (client + server) before the SPL requirement can be completed or an instructor created.</t>
  </si>
  <si>
    <t xml:space="preserve">SPL/CPL Expiry Date fields</t>
  </si>
  <si>
    <t xml:space="preserve">Nullable expiry-date columns + form fields for students (SPL) and instructors (CPL).</t>
  </si>
  <si>
    <t xml:space="preserve">2026-08-20</t>
  </si>
  <si>
    <t xml:space="preserve">SPL/CPL Issue Date + auto-expiry</t>
  </si>
  <si>
    <t xml:space="preserve">Issue date field added; Expiry Date auto-calculates as Issue Date + 10 years until manually touched.</t>
  </si>
  <si>
    <t xml:space="preserve">2026-08-20/21</t>
  </si>
  <si>
    <t xml:space="preserve">SPL/CPL expiry alerts</t>
  </si>
  <si>
    <t xml:space="preserve">Color-coded UI badges on Student/Instructor cards + email notification via the existing cron job, mirroring the medical-expiry pattern.</t>
  </si>
  <si>
    <t xml:space="preserve">2026-08-21 (session 6)</t>
  </si>
  <si>
    <t xml:space="preserve">User Management Edit action</t>
  </si>
  <si>
    <t xml:space="preserve">Admins can now edit an existing user's name/email/role, with a self-demotion guard and duplicate-email handling.</t>
  </si>
  <si>
    <t xml:space="preserve">Persistent sidebar navigation</t>
  </si>
  <si>
    <t xml:space="preserve">Role-filtered left sidebar added across the whole app dashboard shell.</t>
  </si>
  <si>
    <t xml:space="preserve">2026-08-17</t>
  </si>
  <si>
    <t xml:space="preserve">Bug fix</t>
  </si>
  <si>
    <t xml:space="preserve">Sidebar nav-highlight bug</t>
  </si>
  <si>
    <t xml:space="preserve">Instructors vs My Students no longer both highlight due to a string-prefix match bug.</t>
  </si>
  <si>
    <t xml:space="preserve">2026-08-20 (session 2)</t>
  </si>
  <si>
    <t xml:space="preserve">Quality</t>
  </si>
  <si>
    <t xml:space="preserve">Safe-batch lint cleanup</t>
  </si>
  <si>
    <t xml:space="preserve">166 → 94 lint problems cleared via zero-risk mechanical fixes across 29 files.</t>
  </si>
  <si>
    <t xml:space="preserve">Solo Release server-side hardening</t>
  </si>
  <si>
    <t xml:space="preserve">Requirements Checklist toggle now has a real server-side role check instead of client-trusted only.</t>
  </si>
  <si>
    <t xml:space="preserve">2026-08-19</t>
  </si>
  <si>
    <t xml:space="preserve">Hardcoded-data audit &amp; cleanup</t>
  </si>
  <si>
    <t xml:space="preserve">Dead mock-data module removed; several hardcoded lists migrated to DB-driven sources.</t>
  </si>
  <si>
    <t xml:space="preserve">Per-phase training-program matching</t>
  </si>
  <si>
    <t xml:space="preserve">matchTrainingProgram() resolves a student's stage to the correct training_programs row.</t>
  </si>
  <si>
    <t xml:space="preserve">DGCA roll number + real exam score capture</t>
  </si>
  <si>
    <t xml:space="preserve">All three ground-school exam entry points now capture the real DGCA roll number and score.</t>
  </si>
  <si>
    <t xml:space="preserve">CPL Multi Engine + Simulator hours</t>
  </si>
  <si>
    <t xml:space="preserve">Added hour-tracking columns + aircraft type/model data-model restructure to support auto-tracking.</t>
  </si>
  <si>
    <t xml:space="preserve">Docs</t>
  </si>
  <si>
    <t xml:space="preserve">DGCA draft templates (Maintenance Log + Incident Report)</t>
  </si>
  <si>
    <t xml:space="preserve">Two draft Word templates built from standard CAR/ICAO conventions — still need user verification against real DGCA forms before implementation.</t>
  </si>
  <si>
    <t xml:space="preserve">2026-08-24</t>
  </si>
  <si>
    <t xml:space="preserve">Pre-Handover Test Plan (Excel)</t>
  </si>
  <si>
    <t xml:space="preserve">36-case P0/P1/P2 test plan covering everything unverified from sessions 2-7, delivered to docs/.</t>
  </si>
  <si>
    <t xml:space="preserve">2026-08-25</t>
  </si>
  <si>
    <t xml:space="preserve">Governance</t>
  </si>
  <si>
    <t xml:space="preserve">next-steps-plan-2026-08-11.md reconstructed</t>
  </si>
  <si>
    <t xml:space="preserve">Accidentally-overwritten project doc rebuilt from cross-referenced sources; marked explicitly as a reconstruction.</t>
  </si>
  <si>
    <t xml:space="preserve">Permissions</t>
  </si>
  <si>
    <t xml:space="preserve">IR required_hours corrected</t>
  </si>
  <si>
    <t xml:space="preserve">User confirmed the real DGCA value is 15 (was 40) and fixed it themselves via the now-secured Admin Setup route.</t>
  </si>
  <si>
    <t xml:space="preserve">Instructor roster view access</t>
  </si>
  <si>
    <t xml:space="preserve">Instructors can now view (not edit) the full Instructors roster, previously admin/operations-only.</t>
  </si>
  <si>
    <t xml:space="preserve">My Students tab scoped to instructor role</t>
  </si>
  <si>
    <t xml:space="preserve">Removed admin/super_admin from this personalized view — they already have the full roster elsewhere.</t>
  </si>
  <si>
    <t xml:space="preserve">UI cleanup</t>
  </si>
  <si>
    <t xml:space="preserve">Dashboard Quick Actions tile grid removed</t>
  </si>
  <si>
    <t xml:space="preserve">Redundant now that the persistent sidebar covers the same navigation.</t>
  </si>
  <si>
    <t xml:space="preserve">Release</t>
  </si>
  <si>
    <t xml:space="preserve">All work through 2026-08-25 committed, pushed, and merged into production</t>
  </si>
  <si>
    <t xml:space="preserve">main and production both at commit 4aefc5c, confirmed via real terminal output.</t>
  </si>
  <si>
    <t xml:space="preserve">Medical Expiry null-input console error</t>
  </si>
  <si>
    <t xml:space="preserve">React "value prop on input should not be null" — fixed missing || '' fallback in lib/store.ts's row mapper and StudentFormModal.tsx's populate-on-edit effect.</t>
  </si>
  <si>
    <t xml:space="preserve">2026-08-26</t>
  </si>
  <si>
    <t xml:space="preserve">Broader icon-button aria-label coverage (item 38)</t>
  </si>
  <si>
    <t xml:space="preserve">11 files, 19 buttons — Edit/Delete pencil/trash icons across Admin Setup's 7 CRUD tabs plus Availability/Maintenance/Ground School Attendance pages now labeled with the row's own identifying name, not a generic "Edit"/"Delete". Closes the item deliberately deferred from session 7.</t>
  </si>
  <si>
    <t xml:space="preserve">Partial Weekly Off Day scheduling</t>
  </si>
  <si>
    <t xml:space="preserve">New FTO Settings option covering all 3 real-world patterns: 1 weekly off, 2 weekly offs, or 1 weekly off + occurrence-based (e.g. every 2nd &amp; 4th Saturday, or every 1st/3rd/5th Saturday). Single shared getSchedulingBlockReason() used by every scheduling surface (BookingForm, ScheduleBoard, GroundSchoolCalendar, store).</t>
  </si>
  <si>
    <t xml:space="preserve">Partial Weekly Off Day — Settings save not refreshing shared store</t>
  </si>
  <si>
    <t xml:space="preserve">Root cause: SettingsTab.tsx wrote settings to Supabase but never refreshed the Zustand store's cached ftoSettings — a pre-existing architectural gap affecting ANY setting change, not just the new feature. Found via user testing (29-08-2026 not blocked), fixed by refreshing the store after save.</t>
  </si>
  <si>
    <t xml:space="preserve">BA Test Register write access narrowed</t>
  </si>
  <si>
    <t xml:space="preserve">Removed admin/super_admin from BA_TEST_WRITE_ROLES — only safety_officer + operations can add/edit entries now; admin/super_admin retain view-only access via the existing REPORTS_VIEW_ROLES. Single source of truth (lib/permissions.ts) closes the gap across the UI and all 3 server routes at once.</t>
  </si>
  <si>
    <t xml:space="preserve">Aircraft Maintenance Schedule — Phase 1</t>
  </si>
  <si>
    <t xml:space="preserve">New per-model recurring maintenance schedule (engine TBO, Oil Change, 50/100-Hour Inspection, Annual Inspection, Propeller Service, Avionics Check, AD Compliance/ARC review — DGCA-researched, all 5 fleet models) driving: an Aircraft Model dropdown (with "Other" fallback), a non-blocking "Maintenance Due" warning panel, and staff-confirmed Set-Baseline / Create-Maintenance-Record actions. 4 SQL migrations + 13 code files. Phase 2 (hard-blocking bookings on overdue items) deliberately deferred to backlog.</t>
  </si>
  <si>
    <t xml:space="preserve">Urgency</t>
  </si>
  <si>
    <t xml:space="preserve">Test security-hardening round</t>
  </si>
  <si>
    <t xml:space="preserve">All 7 Admin Setup config-route tabs, Aircraft Setup, the IDOR fix, and the direct-exam-entry route — live on production, untested.</t>
  </si>
  <si>
    <t xml:space="preserve">Urgent</t>
  </si>
  <si>
    <t xml:space="preserve">Test accessibility-hardening round</t>
  </si>
  <si>
    <t xml:space="preserve">Escape closes all 15 modals; all 11 Close buttons announce correctly to a screen reader — live on production, untested.</t>
  </si>
  <si>
    <t xml:space="preserve">Test My Students instructor-only scoping</t>
  </si>
  <si>
    <t xml:space="preserve">Confirm admin/super_admin get Not Authorized on /dashboard/instructor; instructors still see it and it works.</t>
  </si>
  <si>
    <t xml:space="preserve">High</t>
  </si>
  <si>
    <t xml:space="preserve">UI</t>
  </si>
  <si>
    <t xml:space="preserve">Test Dashboard after Quick Actions removal</t>
  </si>
  <si>
    <t xml:space="preserve">Confirm layout still looks right and every removed tile's destination is still reachable via the sidebar for each role.</t>
  </si>
  <si>
    <t xml:space="preserve">Testing</t>
  </si>
  <si>
    <t xml:space="preserve">Full smoke-test pass</t>
  </si>
  <si>
    <t xml:space="preserve">Training-stage dropdown, student cards, students-list filter, target-hours consistency, Multi Engine/Simulator progress cards, Breath Analyser Register + Report end-to-end, instructor CPL server-side block, SPL/CPL issue-date fields.</t>
  </si>
  <si>
    <t xml:space="preserve">Normal</t>
  </si>
  <si>
    <t xml:space="preserve">Permission override feature — no live test yet</t>
  </si>
  <si>
    <t xml:space="preserve">Per-user module access overrides have never been tested end-to-end in the live app.</t>
  </si>
  <si>
    <t xml:space="preserve">QA Addendum B not run against real app</t>
  </si>
  <si>
    <t xml:space="preserve">Doesn't yet cover Reports or any 2026-08-19 onward work.</t>
  </si>
  <si>
    <t xml:space="preserve">Confirm Safety Officer user actually exists</t>
  </si>
  <si>
    <t xml:space="preserve">User reported creating one but it hasn't been independently re-verified.</t>
  </si>
  <si>
    <t xml:space="preserve">Test instructor CPL server-side block</t>
  </si>
  <si>
    <t xml:space="preserve">Not yet explicitly confirmed that a blank CPL number is rejected server-side.</t>
  </si>
  <si>
    <t xml:space="preserve">Test SPL/CPL auto-expiry + alert system</t>
  </si>
  <si>
    <t xml:space="preserve">Issue-date auto-fill/override behavior, and the expiry badge + email alert system.</t>
  </si>
  <si>
    <t xml:space="preserve">Test target-hours consistency for a MULTI student</t>
  </si>
  <si>
    <t xml:space="preserve">Dashboard widget / Progress page / Instructor dashboard should all agree, now that the MULTI row exists.</t>
  </si>
  <si>
    <t xml:space="preserve">Retest Partial Weekly Off Day feature</t>
  </si>
  <si>
    <t xml:space="preserve">Confirm 29-08-2026 (2nd/4th Saturday rule) is now correctly blocked after the Settings-store-refresh fix — asked but not yet confirmed by the user.</t>
  </si>
  <si>
    <t xml:space="preserve">Functionally test BA Test Register permission narrowing</t>
  </si>
  <si>
    <t xml:space="preserve">Confirm admin/super_admin can no longer add/edit BA entries (view-only) and safety_officer/operations still can, on the real logged-in app.</t>
  </si>
  <si>
    <t xml:space="preserve">Test Aircraft Maintenance Schedule Phase 1 (IN PROGRESS)</t>
  </si>
  <si>
    <t xml:space="preserve">All 4 SQL migrations run 2026-08-26 — user is currently testing. Confirm: Maintenance Due panel shows the right items per aircraft; Set Baseline / Create Maintenance Record both save correctly; Aircraft Model dropdown populates from the schedule table with "Other" fallback working; logging a completion via the normal Log Maintenance screen (with Hobbs at Completion filled in) resets the matching item's due clock.</t>
  </si>
  <si>
    <t xml:space="preserve">Why it's on hold</t>
  </si>
  <si>
    <t xml:space="preserve">UI/UX</t>
  </si>
  <si>
    <t xml:space="preserve">4 modals' hardcoded dark Tailwind classes</t>
  </si>
  <si>
    <t xml:space="preserve">Unreadable in light mode.</t>
  </si>
  <si>
    <t xml:space="preserve">Needs visual verification — not fixable blind in a sandbox with no deployed URL.</t>
  </si>
  <si>
    <t xml:space="preserve">Two more unhardened write paths</t>
  </si>
  <si>
    <t xml:space="preserve">Attendance page's exam editor + RequirementsChecklist's own separate exam-entry path still write client-side into ground_school_enrollment/training_requirements.</t>
  </si>
  <si>
    <t xml:space="preserve">Found during session 7's security round but out of the four original numbered findings — same fix shape as direct-exam, different call sites.</t>
  </si>
  <si>
    <t xml:space="preserve">3 modals can overflow on short viewports</t>
  </si>
  <si>
    <t xml:space="preserve">Viewport-dependent, needs visual/viewport verification.</t>
  </si>
  <si>
    <t xml:space="preserve">Not fixable blind in a sandbox with no browser access.</t>
  </si>
  <si>
    <t xml:space="preserve">Code quality</t>
  </si>
  <si>
    <t xml:space="preserve">Deferred lint bucket</t>
  </si>
  <si>
    <t xml:space="preserve">no-explicit-any, react-hooks/exhaustive-deps, react-hooks/set-state-in-effect, @next/next/no-img-element.</t>
  </si>
  <si>
    <t xml:space="preserve">User explicitly chose 'safe batch now, rest later' during the lint cleanup round.</t>
  </si>
  <si>
    <t xml:space="preserve">Correctness</t>
  </si>
  <si>
    <t xml:space="preserve">0-vs-null bug in progress percentages</t>
  </si>
  <si>
    <t xml:space="preserve">?? only falls through on null/undefined, not 0 — a legitimate 0 in a training-program hour field produces NaN/100%-clamped results.</t>
  </si>
  <si>
    <t xml:space="preserve">Flagged in the whole-frontend review, not yet scheduled.</t>
  </si>
  <si>
    <t xml:space="preserve">Hardcoded 40h/200h fallback targets</t>
  </si>
  <si>
    <t xml:space="preserve">app/dashboard/student/page.tsx hardcodes targets instead of using matchTrainingProgram(); also inconsistent with the Dashboard widget's own fallback.</t>
  </si>
  <si>
    <t xml:space="preserve">Flagged in the whole-frontend review, deliberately deferred.</t>
  </si>
  <si>
    <t xml:space="preserve">Several smaller correctness bugs</t>
  </si>
  <si>
    <t xml:space="preserve">Medical-valid null-guard, midnight-crossing flight-duration clamp, fuel-percent zero-guard, Daily Ops Sheet IST minute-drop.</t>
  </si>
  <si>
    <t xml:space="preserve">Lower urgency per the whole-frontend review's own framing.</t>
  </si>
  <si>
    <t xml:space="preserve">CSV import logic duplicated</t>
  </si>
  <si>
    <t xml:space="preserve">Drifted between ExercisesTab.tsx and HolidaysTab.tsx.</t>
  </si>
  <si>
    <t xml:space="preserve">GroundSchoolCalendar.tsx is a 1036-line monolith</t>
  </si>
  <si>
    <t xml:space="preserve">Candidate for a refactor/split.</t>
  </si>
  <si>
    <t xml:space="preserve">Admin Setup CRUD-tab boilerplate duplicated</t>
  </si>
  <si>
    <t xml:space="preserve">Repeated pattern across 4+ tabs could be consolidated.</t>
  </si>
  <si>
    <t xml:space="preserve">Data</t>
  </si>
  <si>
    <t xml:space="preserve">Cron job silent-failure fallback to anon key</t>
  </si>
  <si>
    <t xml:space="preserve">check-notifications/route.ts may silently fall back to the anon key if the service-role key is unset (flow audit finding #8).</t>
  </si>
  <si>
    <t xml:space="preserve">Never confirmed fixed or broken — worth a five-minute check next time that file is touched.</t>
  </si>
  <si>
    <t xml:space="preserve">Optional: backfill expiry/issue dates</t>
  </si>
  <si>
    <t xml:space="preserve">Existing SPL/CPL numbers on file have no expiry/issue date backfilled.</t>
  </si>
  <si>
    <t xml:space="preserve">Optional, no user request yet.</t>
  </si>
  <si>
    <t xml:space="preserve">Cosmetic</t>
  </si>
  <si>
    <t xml:space="preserve">Minor pre-existing inconsistencies</t>
  </si>
  <si>
    <t xml:space="preserve">Exercise field storage format differs between FlightRecordForm and BookingForm; a historical flight's exercise short code changed; leave-type list duplicated between two files; a couple of pre-DGCA-fix rows have blank roll numbers; every aircraft's Type/Model should be spot-checked post-restructure.</t>
  </si>
  <si>
    <t xml:space="preserve">All low-impact cosmetic items, deliberately not chased.</t>
  </si>
  <si>
    <t xml:space="preserve">Dashboard/Instructor-dashboard vs Progress page fallback mismatch</t>
  </si>
  <si>
    <t xml:space="preserve">200h vs 40h fallback targets disagree when no training program matches.</t>
  </si>
  <si>
    <t xml:space="preserve">Deliberately deferred pending a decision on which fallback is correct.</t>
  </si>
  <si>
    <t xml:space="preserve">Description</t>
  </si>
  <si>
    <t xml:space="preserve">Status</t>
  </si>
  <si>
    <t xml:space="preserve">Impact</t>
  </si>
  <si>
    <t xml:space="preserve">Effort</t>
  </si>
  <si>
    <t xml:space="preserve">Notes / What to decide</t>
  </si>
  <si>
    <t xml:space="preserve">Checkbox-style Requirements UI</t>
  </si>
  <si>
    <t xml:space="preserve">Friendlier way to manage requirement completion than the current checklist.</t>
  </si>
  <si>
    <t xml:space="preserve">Not started</t>
  </si>
  <si>
    <t xml:space="preserve">Medium</t>
  </si>
  <si>
    <t xml:space="preserve">Called out in the original backlog as 'the natural next feature once security/testing is cleared.' Smallest, most self-contained of the open backlog items.</t>
  </si>
  <si>
    <t xml:space="preserve">DGCA Incident Report — full implementation</t>
  </si>
  <si>
    <t xml:space="preserve">Extend the existing safety_incidents table with the draft template's fields (occurrence classification, per-person injury, damage, contributing factors, DGCA notification ref) and build a proper standalone form/page (today it's a small panel on the Daily Flying Report page).</t>
  </si>
  <si>
    <t xml:space="preserve">Researched, not started</t>
  </si>
  <si>
    <t xml:space="preserve">Blocked on the user verifying the draft Word template against the FTO's real CA Form 19-10/CAR Section 5 paperwork first.</t>
  </si>
  <si>
    <t xml:space="preserve">DGCA Maintenance Log — full implementation</t>
  </si>
  <si>
    <t xml:space="preserve">Extend the existing maintenance_records table with DGCA-specific fields (airframe hours, block hours, parts used, AME license, CRS reference); also switch loadMaintenanceRecords off its legacy direct-Supabase read while touching this table.</t>
  </si>
  <si>
    <t xml:space="preserve">Same blocker as the Incident Report — needs the real DGCA form verified first.</t>
  </si>
  <si>
    <t xml:space="preserve">Mobile PWA (installable/offline)</t>
  </si>
  <si>
    <t xml:space="preserve">The responsive-layout half is done (works well on phones/tablets); true installability — manifest, service worker, install prompt, offline support — is not built.</t>
  </si>
  <si>
    <t xml:space="preserve">Partially done</t>
  </si>
  <si>
    <t xml:space="preserve">No explicit user ask yet beyond the original backlog line item.</t>
  </si>
  <si>
    <t xml:space="preserve">Billing module</t>
  </si>
  <si>
    <t xml:space="preserve">Student/FTO billing and invoicing — no scoping conversation has happened yet.</t>
  </si>
  <si>
    <t xml:space="preserve">Large</t>
  </si>
  <si>
    <t xml:space="preserve">Needs a scoping discussion before any estimate is meaningful — likely the largest single feature in the backlog.</t>
  </si>
  <si>
    <t xml:space="preserve">Multi-FTO / multi-base support</t>
  </si>
  <si>
    <t xml:space="preserve">The app currently assumes a single operating location/airport; multi-base support isn't built.</t>
  </si>
  <si>
    <t xml:space="preserve">Touches most of the app's data model (aircraft, schedule, weather/NOTAM, reports) — needs scoping.</t>
  </si>
  <si>
    <t xml:space="preserve">Multi-language support</t>
  </si>
  <si>
    <t xml:space="preserve">No i18n framework or translated strings exist yet.</t>
  </si>
  <si>
    <t xml:space="preserve">Low</t>
  </si>
  <si>
    <t xml:space="preserve">No user demand signal yet beyond the original backlog line item — lowest apparent priority of the five backlog items.</t>
  </si>
  <si>
    <t xml:space="preserve">Aircraft Maintenance Schedule — Phase 2 (hard-block bookings)</t>
  </si>
  <si>
    <t xml:space="preserve">Auto-ground / block scheduling when a mandatory maintenance item goes overdue, instead of Phase 1's non-blocking warnings.</t>
  </si>
  <si>
    <t xml:space="preserve">Deliberately deferred by the user's own request until Phase 1 is confirmed working in practice; needs a decision on which items (if any) should be hard-blocking vs. warning-only, and how a false-positive baseline would be handled before an aircraft gets auto-grounded.</t>
  </si>
  <si>
    <t xml:space="preserve">Plan Tracker — Summary</t>
  </si>
  <si>
    <t xml:space="preserve">Completed items</t>
  </si>
  <si>
    <t xml:space="preserve">Pending (needs verification)</t>
  </si>
  <si>
    <t xml:space="preserve">  — of which Urgent</t>
  </si>
  <si>
    <t xml:space="preserve">On Hold / deferred</t>
  </si>
  <si>
    <t xml:space="preserve">New Features in backlog</t>
  </si>
  <si>
    <t xml:space="preserve">  — High impact</t>
  </si>
  <si>
    <t xml:space="preserve">Suggested next steps, in order</t>
  </si>
  <si>
    <t xml:space="preserve">1. Run the two Urgent items in Pending — session 7's security + accessibility fixes are live on production, still untested as of this update. This is risk reduction, not new work, and should come first regardless of what's picked next.</t>
  </si>
  <si>
    <t xml:space="preserve">2. Finish testing the Aircraft Maintenance Schedule Phase 1 — all 4 SQL migrations are run, user is actively testing as of 2026-08-26 (see Pending). Once confirmed working, commit/push/merge and consider scoping Phase 2 (hard-blocking).</t>
  </si>
  <si>
    <t xml:space="preserve">3. Retest Partial Weekly Off Day (29-08-2026 case) and functionally verify the BA Test Register permission narrowing — both shipped fixes awaiting confirmation.</t>
  </si>
  <si>
    <t xml:space="preserve">4. Clear the rest of Pending with a normal testing pass (see the Pre-Handover Test Plan for the detailed step-by-step cases).</t>
  </si>
  <si>
    <t xml:space="preserve">5. For new feature work: Checkbox-style Requirements UI is still the smallest, most self-contained backlog item — good first pick if you want visible progress fast once the above testing is clear.</t>
  </si>
  <si>
    <t xml:space="preserve">6. The two DGCA implementation items (Incident Report, Maintenance Log) are High impact but blocked on you verifying the draft templates against the FTO's real paperwork first — worth doing that verification soon so they're unblocked whenever there's room.</t>
  </si>
  <si>
    <t xml:space="preserve">7. Billing and Multi-FTO are both High/Medium-impact but Large-effort with no scoping done yet — good candidates for a dedicated scoping conversation before committing to either.</t>
  </si>
  <si>
    <t xml:space="preserve">8. Mobile PWA installability, Multi-language, and Aircraft Maintenance Schedule Phase 2 are lower urgency — park until something above them is done.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</si>
</sst>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864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4"/>
      <color rgb="FF1F3864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2"/>
      <color rgb="FF1F3864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C6EFCE"/>
        <bgColor rgb="FFD9E1F2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8CBAD"/>
      </patternFill>
    </fill>
    <fill>
      <patternFill patternType="solid">
        <fgColor rgb="FFD9E1F2"/>
        <bgColor rgb="FFEDEDED"/>
      </patternFill>
    </fill>
    <fill>
      <patternFill patternType="solid">
        <fgColor rgb="FFEDEDED"/>
        <bgColor rgb="FFD9E1F2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864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D9E1F2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 patternType="solid">
          <fgColor rgb="FFEDEDED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EDEDED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5"/>
  </cols>
  <sheetData>
    <row r="1" customFormat="false" ht="19.5" hidden="false" customHeight="true" outlineLevel="0" collapsed="false">
      <c r="A1" s="2" t="s">
        <v>0</v>
      </c>
    </row>
    <row r="3" customFormat="false" ht="39" hidden="false" customHeight="true" outlineLevel="0" collapsed="false">
      <c r="A3" s="3" t="s">
        <v>1</v>
      </c>
    </row>
    <row r="5" customFormat="false" ht="15" hidden="false" customHeight="true" outlineLevel="0" collapsed="false">
      <c r="A5" s="4" t="s">
        <v>2</v>
      </c>
    </row>
    <row r="6" customFormat="false" ht="15" hidden="false" customHeight="true" outlineLevel="0" collapsed="false">
      <c r="A6" s="3" t="s">
        <v>3</v>
      </c>
    </row>
    <row r="7" customFormat="false" ht="26.25" hidden="false" customHeight="true" outlineLevel="0" collapsed="false">
      <c r="A7" s="3" t="s">
        <v>4</v>
      </c>
    </row>
    <row r="8" customFormat="false" ht="26.25" hidden="false" customHeight="true" outlineLevel="0" collapsed="false">
      <c r="A8" s="3" t="s">
        <v>5</v>
      </c>
    </row>
    <row r="9" customFormat="false" ht="26.25" hidden="false" customHeight="true" outlineLevel="0" collapsed="false">
      <c r="A9" s="3" t="s">
        <v>6</v>
      </c>
    </row>
    <row r="10" customFormat="false" ht="15" hidden="false" customHeight="true" outlineLevel="0" collapsed="false">
      <c r="A10" s="3" t="s">
        <v>7</v>
      </c>
    </row>
    <row r="12" customFormat="false" ht="39" hidden="false" customHeight="true" outlineLevel="0" collapsed="false">
      <c r="A12" s="4" t="s">
        <v>8</v>
      </c>
    </row>
    <row r="14" customFormat="false" ht="26.25" hidden="false" customHeight="true" outlineLevel="0" collapsed="false">
      <c r="A14" s="3" t="s">
        <v>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32"/>
    <col collapsed="false" customWidth="true" hidden="false" outlineLevel="0" max="4" min="4" style="1" width="60"/>
    <col collapsed="false" customWidth="true" hidden="false" outlineLevel="0" max="5" min="5" style="1" width="16"/>
  </cols>
  <sheetData>
    <row r="1" customFormat="false" ht="25.5" hidden="false" customHeight="true" outlineLevel="0" collapsed="false">
      <c r="A1" s="5" t="s">
        <v>10</v>
      </c>
      <c r="B1" s="5" t="s">
        <v>11</v>
      </c>
      <c r="C1" s="5" t="s">
        <v>12</v>
      </c>
      <c r="D1" s="5" t="s">
        <v>13</v>
      </c>
      <c r="E1" s="5" t="s">
        <v>14</v>
      </c>
    </row>
    <row r="2" customFormat="false" ht="34.5" hidden="false" customHeight="true" outlineLevel="0" collapsed="false">
      <c r="A2" s="6" t="n">
        <v>1</v>
      </c>
      <c r="B2" s="6" t="s">
        <v>15</v>
      </c>
      <c r="C2" s="7" t="s">
        <v>16</v>
      </c>
      <c r="D2" s="6" t="s">
        <v>17</v>
      </c>
      <c r="E2" s="6" t="s">
        <v>18</v>
      </c>
    </row>
    <row r="3" customFormat="false" ht="23.25" hidden="false" customHeight="true" outlineLevel="0" collapsed="false">
      <c r="A3" s="6" t="n">
        <v>2</v>
      </c>
      <c r="B3" s="6" t="s">
        <v>15</v>
      </c>
      <c r="C3" s="7" t="s">
        <v>19</v>
      </c>
      <c r="D3" s="6" t="s">
        <v>20</v>
      </c>
      <c r="E3" s="6" t="s">
        <v>18</v>
      </c>
    </row>
    <row r="4" customFormat="false" ht="23.25" hidden="false" customHeight="true" outlineLevel="0" collapsed="false">
      <c r="A4" s="6" t="n">
        <v>3</v>
      </c>
      <c r="B4" s="6" t="s">
        <v>15</v>
      </c>
      <c r="C4" s="7" t="s">
        <v>21</v>
      </c>
      <c r="D4" s="6" t="s">
        <v>22</v>
      </c>
      <c r="E4" s="6" t="s">
        <v>18</v>
      </c>
    </row>
    <row r="5" customFormat="false" ht="23.25" hidden="false" customHeight="true" outlineLevel="0" collapsed="false">
      <c r="A5" s="6" t="n">
        <v>4</v>
      </c>
      <c r="B5" s="6" t="s">
        <v>15</v>
      </c>
      <c r="C5" s="7" t="s">
        <v>23</v>
      </c>
      <c r="D5" s="6" t="s">
        <v>24</v>
      </c>
      <c r="E5" s="6" t="s">
        <v>18</v>
      </c>
    </row>
    <row r="6" customFormat="false" ht="23.25" hidden="false" customHeight="true" outlineLevel="0" collapsed="false">
      <c r="A6" s="6" t="n">
        <v>5</v>
      </c>
      <c r="B6" s="6" t="s">
        <v>25</v>
      </c>
      <c r="C6" s="7" t="s">
        <v>26</v>
      </c>
      <c r="D6" s="6" t="s">
        <v>27</v>
      </c>
      <c r="E6" s="6" t="s">
        <v>18</v>
      </c>
    </row>
    <row r="7" customFormat="false" ht="23.25" hidden="false" customHeight="true" outlineLevel="0" collapsed="false">
      <c r="A7" s="6" t="n">
        <v>6</v>
      </c>
      <c r="B7" s="6" t="s">
        <v>25</v>
      </c>
      <c r="C7" s="7" t="s">
        <v>28</v>
      </c>
      <c r="D7" s="6" t="s">
        <v>29</v>
      </c>
      <c r="E7" s="6" t="s">
        <v>18</v>
      </c>
    </row>
    <row r="8" customFormat="false" ht="23.25" hidden="false" customHeight="true" outlineLevel="0" collapsed="false">
      <c r="A8" s="6" t="n">
        <v>7</v>
      </c>
      <c r="B8" s="6" t="s">
        <v>30</v>
      </c>
      <c r="C8" s="7" t="s">
        <v>31</v>
      </c>
      <c r="D8" s="6" t="s">
        <v>32</v>
      </c>
      <c r="E8" s="6" t="s">
        <v>33</v>
      </c>
    </row>
    <row r="9" customFormat="false" ht="23.25" hidden="false" customHeight="true" outlineLevel="0" collapsed="false">
      <c r="A9" s="6" t="n">
        <v>8</v>
      </c>
      <c r="B9" s="6" t="s">
        <v>30</v>
      </c>
      <c r="C9" s="7" t="s">
        <v>34</v>
      </c>
      <c r="D9" s="6" t="s">
        <v>35</v>
      </c>
      <c r="E9" s="6" t="s">
        <v>36</v>
      </c>
    </row>
    <row r="10" customFormat="false" ht="23.25" hidden="false" customHeight="true" outlineLevel="0" collapsed="false">
      <c r="A10" s="6" t="n">
        <v>9</v>
      </c>
      <c r="B10" s="6" t="s">
        <v>30</v>
      </c>
      <c r="C10" s="7" t="s">
        <v>37</v>
      </c>
      <c r="D10" s="6" t="s">
        <v>38</v>
      </c>
      <c r="E10" s="6" t="s">
        <v>33</v>
      </c>
    </row>
    <row r="11" customFormat="false" ht="23.25" hidden="false" customHeight="true" outlineLevel="0" collapsed="false">
      <c r="A11" s="6" t="n">
        <v>10</v>
      </c>
      <c r="B11" s="6" t="s">
        <v>30</v>
      </c>
      <c r="C11" s="7" t="s">
        <v>39</v>
      </c>
      <c r="D11" s="6" t="s">
        <v>40</v>
      </c>
      <c r="E11" s="6" t="s">
        <v>41</v>
      </c>
    </row>
    <row r="12" customFormat="false" ht="23.25" hidden="false" customHeight="true" outlineLevel="0" collapsed="false">
      <c r="A12" s="6" t="n">
        <v>11</v>
      </c>
      <c r="B12" s="6" t="s">
        <v>30</v>
      </c>
      <c r="C12" s="7" t="s">
        <v>42</v>
      </c>
      <c r="D12" s="6" t="s">
        <v>43</v>
      </c>
      <c r="E12" s="6" t="s">
        <v>44</v>
      </c>
    </row>
    <row r="13" customFormat="false" ht="23.25" hidden="false" customHeight="true" outlineLevel="0" collapsed="false">
      <c r="A13" s="6" t="n">
        <v>12</v>
      </c>
      <c r="B13" s="6" t="s">
        <v>30</v>
      </c>
      <c r="C13" s="7" t="s">
        <v>45</v>
      </c>
      <c r="D13" s="6" t="s">
        <v>46</v>
      </c>
      <c r="E13" s="6" t="s">
        <v>47</v>
      </c>
    </row>
    <row r="14" customFormat="false" ht="23.25" hidden="false" customHeight="true" outlineLevel="0" collapsed="false">
      <c r="A14" s="6" t="n">
        <v>13</v>
      </c>
      <c r="B14" s="6" t="s">
        <v>30</v>
      </c>
      <c r="C14" s="7" t="s">
        <v>48</v>
      </c>
      <c r="D14" s="6" t="s">
        <v>49</v>
      </c>
      <c r="E14" s="6" t="s">
        <v>41</v>
      </c>
    </row>
    <row r="15" customFormat="false" ht="15" hidden="false" customHeight="true" outlineLevel="0" collapsed="false">
      <c r="A15" s="6" t="n">
        <v>14</v>
      </c>
      <c r="B15" s="6" t="s">
        <v>30</v>
      </c>
      <c r="C15" s="7" t="s">
        <v>50</v>
      </c>
      <c r="D15" s="6" t="s">
        <v>51</v>
      </c>
      <c r="E15" s="6" t="s">
        <v>52</v>
      </c>
    </row>
    <row r="16" customFormat="false" ht="23.25" hidden="false" customHeight="true" outlineLevel="0" collapsed="false">
      <c r="A16" s="6" t="n">
        <v>15</v>
      </c>
      <c r="B16" s="6" t="s">
        <v>53</v>
      </c>
      <c r="C16" s="7" t="s">
        <v>54</v>
      </c>
      <c r="D16" s="6" t="s">
        <v>55</v>
      </c>
      <c r="E16" s="6" t="s">
        <v>56</v>
      </c>
    </row>
    <row r="17" customFormat="false" ht="23.25" hidden="false" customHeight="true" outlineLevel="0" collapsed="false">
      <c r="A17" s="6" t="n">
        <v>16</v>
      </c>
      <c r="B17" s="6" t="s">
        <v>57</v>
      </c>
      <c r="C17" s="7" t="s">
        <v>58</v>
      </c>
      <c r="D17" s="6" t="s">
        <v>59</v>
      </c>
      <c r="E17" s="6" t="s">
        <v>41</v>
      </c>
    </row>
    <row r="18" customFormat="false" ht="23.25" hidden="false" customHeight="true" outlineLevel="0" collapsed="false">
      <c r="A18" s="6" t="n">
        <v>17</v>
      </c>
      <c r="B18" s="6" t="s">
        <v>15</v>
      </c>
      <c r="C18" s="7" t="s">
        <v>60</v>
      </c>
      <c r="D18" s="6" t="s">
        <v>61</v>
      </c>
      <c r="E18" s="6" t="s">
        <v>62</v>
      </c>
    </row>
    <row r="19" customFormat="false" ht="23.25" hidden="false" customHeight="true" outlineLevel="0" collapsed="false">
      <c r="A19" s="6" t="n">
        <v>18</v>
      </c>
      <c r="B19" s="6" t="s">
        <v>57</v>
      </c>
      <c r="C19" s="7" t="s">
        <v>63</v>
      </c>
      <c r="D19" s="6" t="s">
        <v>64</v>
      </c>
      <c r="E19" s="6" t="s">
        <v>62</v>
      </c>
    </row>
    <row r="20" customFormat="false" ht="23.25" hidden="false" customHeight="true" outlineLevel="0" collapsed="false">
      <c r="A20" s="6" t="n">
        <v>19</v>
      </c>
      <c r="B20" s="6" t="s">
        <v>30</v>
      </c>
      <c r="C20" s="7" t="s">
        <v>65</v>
      </c>
      <c r="D20" s="6" t="s">
        <v>66</v>
      </c>
      <c r="E20" s="6" t="s">
        <v>62</v>
      </c>
    </row>
    <row r="21" customFormat="false" ht="23.25" hidden="false" customHeight="true" outlineLevel="0" collapsed="false">
      <c r="A21" s="6" t="n">
        <v>20</v>
      </c>
      <c r="B21" s="6" t="s">
        <v>30</v>
      </c>
      <c r="C21" s="7" t="s">
        <v>67</v>
      </c>
      <c r="D21" s="6" t="s">
        <v>68</v>
      </c>
      <c r="E21" s="6" t="s">
        <v>62</v>
      </c>
    </row>
    <row r="22" customFormat="false" ht="23.25" hidden="false" customHeight="true" outlineLevel="0" collapsed="false">
      <c r="A22" s="6" t="n">
        <v>21</v>
      </c>
      <c r="B22" s="6" t="s">
        <v>30</v>
      </c>
      <c r="C22" s="7" t="s">
        <v>69</v>
      </c>
      <c r="D22" s="6" t="s">
        <v>70</v>
      </c>
      <c r="E22" s="6" t="s">
        <v>62</v>
      </c>
    </row>
    <row r="23" customFormat="false" ht="34.5" hidden="false" customHeight="true" outlineLevel="0" collapsed="false">
      <c r="A23" s="6" t="n">
        <v>22</v>
      </c>
      <c r="B23" s="6" t="s">
        <v>71</v>
      </c>
      <c r="C23" s="7" t="s">
        <v>72</v>
      </c>
      <c r="D23" s="6" t="s">
        <v>73</v>
      </c>
      <c r="E23" s="6" t="s">
        <v>74</v>
      </c>
    </row>
    <row r="24" customFormat="false" ht="23.25" hidden="false" customHeight="true" outlineLevel="0" collapsed="false">
      <c r="A24" s="6" t="n">
        <v>23</v>
      </c>
      <c r="B24" s="6" t="s">
        <v>71</v>
      </c>
      <c r="C24" s="7" t="s">
        <v>75</v>
      </c>
      <c r="D24" s="6" t="s">
        <v>76</v>
      </c>
      <c r="E24" s="6" t="s">
        <v>77</v>
      </c>
    </row>
    <row r="25" customFormat="false" ht="23.25" hidden="false" customHeight="true" outlineLevel="0" collapsed="false">
      <c r="A25" s="6" t="n">
        <v>24</v>
      </c>
      <c r="B25" s="6" t="s">
        <v>78</v>
      </c>
      <c r="C25" s="7" t="s">
        <v>79</v>
      </c>
      <c r="D25" s="6" t="s">
        <v>80</v>
      </c>
      <c r="E25" s="6" t="s">
        <v>77</v>
      </c>
    </row>
    <row r="26" customFormat="false" ht="23.25" hidden="false" customHeight="true" outlineLevel="0" collapsed="false">
      <c r="A26" s="6" t="n">
        <v>25</v>
      </c>
      <c r="B26" s="6" t="s">
        <v>81</v>
      </c>
      <c r="C26" s="7" t="s">
        <v>82</v>
      </c>
      <c r="D26" s="6" t="s">
        <v>83</v>
      </c>
      <c r="E26" s="6" t="s">
        <v>77</v>
      </c>
    </row>
    <row r="27" customFormat="false" ht="23.25" hidden="false" customHeight="true" outlineLevel="0" collapsed="false">
      <c r="A27" s="6" t="n">
        <v>26</v>
      </c>
      <c r="B27" s="6" t="s">
        <v>81</v>
      </c>
      <c r="C27" s="7" t="s">
        <v>84</v>
      </c>
      <c r="D27" s="6" t="s">
        <v>85</v>
      </c>
      <c r="E27" s="6" t="s">
        <v>77</v>
      </c>
    </row>
    <row r="28" customFormat="false" ht="23.25" hidden="false" customHeight="true" outlineLevel="0" collapsed="false">
      <c r="A28" s="6" t="n">
        <v>27</v>
      </c>
      <c r="B28" s="6" t="s">
        <v>81</v>
      </c>
      <c r="C28" s="7" t="s">
        <v>86</v>
      </c>
      <c r="D28" s="6" t="s">
        <v>87</v>
      </c>
      <c r="E28" s="6" t="s">
        <v>77</v>
      </c>
    </row>
    <row r="29" customFormat="false" ht="23.25" hidden="false" customHeight="true" outlineLevel="0" collapsed="false">
      <c r="A29" s="6" t="n">
        <v>28</v>
      </c>
      <c r="B29" s="6" t="s">
        <v>88</v>
      </c>
      <c r="C29" s="7" t="s">
        <v>89</v>
      </c>
      <c r="D29" s="6" t="s">
        <v>90</v>
      </c>
      <c r="E29" s="6" t="s">
        <v>77</v>
      </c>
    </row>
    <row r="30" customFormat="false" ht="34.5" hidden="false" customHeight="true" outlineLevel="0" collapsed="false">
      <c r="A30" s="6" t="n">
        <v>29</v>
      </c>
      <c r="B30" s="6" t="s">
        <v>91</v>
      </c>
      <c r="C30" s="7" t="s">
        <v>92</v>
      </c>
      <c r="D30" s="6" t="s">
        <v>93</v>
      </c>
      <c r="E30" s="6" t="s">
        <v>77</v>
      </c>
    </row>
    <row r="31" customFormat="false" ht="34.5" hidden="false" customHeight="true" outlineLevel="0" collapsed="false">
      <c r="A31" s="6" t="n">
        <v>30</v>
      </c>
      <c r="B31" s="6" t="s">
        <v>53</v>
      </c>
      <c r="C31" s="7" t="s">
        <v>94</v>
      </c>
      <c r="D31" s="6" t="s">
        <v>95</v>
      </c>
      <c r="E31" s="6" t="s">
        <v>96</v>
      </c>
    </row>
    <row r="32" customFormat="false" ht="45.75" hidden="false" customHeight="true" outlineLevel="0" collapsed="false">
      <c r="A32" s="6" t="n">
        <v>31</v>
      </c>
      <c r="B32" s="6" t="s">
        <v>25</v>
      </c>
      <c r="C32" s="7" t="s">
        <v>97</v>
      </c>
      <c r="D32" s="6" t="s">
        <v>98</v>
      </c>
      <c r="E32" s="6" t="s">
        <v>77</v>
      </c>
    </row>
    <row r="33" customFormat="false" ht="57" hidden="false" customHeight="true" outlineLevel="0" collapsed="false">
      <c r="A33" s="6" t="n">
        <v>32</v>
      </c>
      <c r="B33" s="6" t="s">
        <v>30</v>
      </c>
      <c r="C33" s="7" t="s">
        <v>99</v>
      </c>
      <c r="D33" s="6" t="s">
        <v>100</v>
      </c>
      <c r="E33" s="6" t="s">
        <v>77</v>
      </c>
    </row>
    <row r="34" customFormat="false" ht="57" hidden="false" customHeight="true" outlineLevel="0" collapsed="false">
      <c r="A34" s="6" t="n">
        <v>33</v>
      </c>
      <c r="B34" s="6" t="s">
        <v>53</v>
      </c>
      <c r="C34" s="7" t="s">
        <v>101</v>
      </c>
      <c r="D34" s="6" t="s">
        <v>102</v>
      </c>
      <c r="E34" s="6" t="s">
        <v>77</v>
      </c>
    </row>
    <row r="35" customFormat="false" ht="57" hidden="false" customHeight="true" outlineLevel="0" collapsed="false">
      <c r="A35" s="6" t="n">
        <v>34</v>
      </c>
      <c r="B35" s="6" t="s">
        <v>15</v>
      </c>
      <c r="C35" s="7" t="s">
        <v>103</v>
      </c>
      <c r="D35" s="6" t="s">
        <v>104</v>
      </c>
      <c r="E35" s="6" t="s">
        <v>96</v>
      </c>
    </row>
    <row r="36" customFormat="false" ht="90.75" hidden="false" customHeight="true" outlineLevel="0" collapsed="false">
      <c r="A36" s="6" t="n">
        <v>35</v>
      </c>
      <c r="B36" s="6" t="s">
        <v>30</v>
      </c>
      <c r="C36" s="7" t="s">
        <v>105</v>
      </c>
      <c r="D36" s="6" t="s">
        <v>106</v>
      </c>
      <c r="E36" s="6" t="s">
        <v>96</v>
      </c>
    </row>
  </sheetData>
  <autoFilter ref="A1:E3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6"/>
    <col collapsed="false" customWidth="true" hidden="false" outlineLevel="0" max="3" min="3" style="1" width="32"/>
    <col collapsed="false" customWidth="true" hidden="false" outlineLevel="0" max="4" min="4" style="1" width="65"/>
    <col collapsed="false" customWidth="true" hidden="false" outlineLevel="0" max="5" min="5" style="1" width="12"/>
  </cols>
  <sheetData>
    <row r="1" customFormat="false" ht="25.5" hidden="false" customHeight="true" outlineLevel="0" collapsed="false">
      <c r="A1" s="5" t="s">
        <v>10</v>
      </c>
      <c r="B1" s="5" t="s">
        <v>11</v>
      </c>
      <c r="C1" s="5" t="s">
        <v>12</v>
      </c>
      <c r="D1" s="5" t="s">
        <v>13</v>
      </c>
      <c r="E1" s="5" t="s">
        <v>107</v>
      </c>
    </row>
    <row r="2" customFormat="false" ht="23.25" hidden="false" customHeight="true" outlineLevel="0" collapsed="false">
      <c r="A2" s="8" t="n">
        <v>1</v>
      </c>
      <c r="B2" s="8" t="s">
        <v>15</v>
      </c>
      <c r="C2" s="9" t="s">
        <v>108</v>
      </c>
      <c r="D2" s="8" t="s">
        <v>109</v>
      </c>
      <c r="E2" s="10" t="s">
        <v>110</v>
      </c>
    </row>
    <row r="3" customFormat="false" ht="23.25" hidden="false" customHeight="true" outlineLevel="0" collapsed="false">
      <c r="A3" s="8" t="n">
        <v>2</v>
      </c>
      <c r="B3" s="8" t="s">
        <v>25</v>
      </c>
      <c r="C3" s="9" t="s">
        <v>111</v>
      </c>
      <c r="D3" s="8" t="s">
        <v>112</v>
      </c>
      <c r="E3" s="10" t="s">
        <v>110</v>
      </c>
    </row>
    <row r="4" customFormat="false" ht="23.25" hidden="false" customHeight="true" outlineLevel="0" collapsed="false">
      <c r="A4" s="8" t="n">
        <v>3</v>
      </c>
      <c r="B4" s="8" t="s">
        <v>81</v>
      </c>
      <c r="C4" s="9" t="s">
        <v>113</v>
      </c>
      <c r="D4" s="8" t="s">
        <v>114</v>
      </c>
      <c r="E4" s="11" t="s">
        <v>115</v>
      </c>
    </row>
    <row r="5" customFormat="false" ht="23.25" hidden="false" customHeight="true" outlineLevel="0" collapsed="false">
      <c r="A5" s="8" t="n">
        <v>4</v>
      </c>
      <c r="B5" s="8" t="s">
        <v>116</v>
      </c>
      <c r="C5" s="9" t="s">
        <v>117</v>
      </c>
      <c r="D5" s="8" t="s">
        <v>118</v>
      </c>
      <c r="E5" s="11" t="s">
        <v>115</v>
      </c>
    </row>
    <row r="6" customFormat="false" ht="34.5" hidden="false" customHeight="true" outlineLevel="0" collapsed="false">
      <c r="A6" s="8" t="n">
        <v>5</v>
      </c>
      <c r="B6" s="8" t="s">
        <v>119</v>
      </c>
      <c r="C6" s="9" t="s">
        <v>120</v>
      </c>
      <c r="D6" s="8" t="s">
        <v>121</v>
      </c>
      <c r="E6" s="12" t="s">
        <v>122</v>
      </c>
    </row>
    <row r="7" customFormat="false" ht="23.25" hidden="false" customHeight="true" outlineLevel="0" collapsed="false">
      <c r="A7" s="8" t="n">
        <v>6</v>
      </c>
      <c r="B7" s="8" t="s">
        <v>119</v>
      </c>
      <c r="C7" s="9" t="s">
        <v>123</v>
      </c>
      <c r="D7" s="8" t="s">
        <v>124</v>
      </c>
      <c r="E7" s="12" t="s">
        <v>122</v>
      </c>
    </row>
    <row r="8" customFormat="false" ht="23.25" hidden="false" customHeight="true" outlineLevel="0" collapsed="false">
      <c r="A8" s="8" t="n">
        <v>7</v>
      </c>
      <c r="B8" s="8" t="s">
        <v>119</v>
      </c>
      <c r="C8" s="9" t="s">
        <v>125</v>
      </c>
      <c r="D8" s="8" t="s">
        <v>126</v>
      </c>
      <c r="E8" s="12" t="s">
        <v>122</v>
      </c>
    </row>
    <row r="9" customFormat="false" ht="23.25" hidden="false" customHeight="true" outlineLevel="0" collapsed="false">
      <c r="A9" s="8" t="n">
        <v>8</v>
      </c>
      <c r="B9" s="8" t="s">
        <v>119</v>
      </c>
      <c r="C9" s="9" t="s">
        <v>127</v>
      </c>
      <c r="D9" s="8" t="s">
        <v>128</v>
      </c>
      <c r="E9" s="12" t="s">
        <v>122</v>
      </c>
    </row>
    <row r="10" customFormat="false" ht="23.25" hidden="false" customHeight="true" outlineLevel="0" collapsed="false">
      <c r="A10" s="8" t="n">
        <v>9</v>
      </c>
      <c r="B10" s="8" t="s">
        <v>119</v>
      </c>
      <c r="C10" s="9" t="s">
        <v>129</v>
      </c>
      <c r="D10" s="8" t="s">
        <v>130</v>
      </c>
      <c r="E10" s="12" t="s">
        <v>122</v>
      </c>
    </row>
    <row r="11" customFormat="false" ht="23.25" hidden="false" customHeight="true" outlineLevel="0" collapsed="false">
      <c r="A11" s="8" t="n">
        <v>10</v>
      </c>
      <c r="B11" s="8" t="s">
        <v>119</v>
      </c>
      <c r="C11" s="9" t="s">
        <v>131</v>
      </c>
      <c r="D11" s="8" t="s">
        <v>132</v>
      </c>
      <c r="E11" s="12" t="s">
        <v>122</v>
      </c>
    </row>
    <row r="12" customFormat="false" ht="23.25" hidden="false" customHeight="true" outlineLevel="0" collapsed="false">
      <c r="A12" s="8" t="n">
        <v>11</v>
      </c>
      <c r="B12" s="8" t="s">
        <v>119</v>
      </c>
      <c r="C12" s="9" t="s">
        <v>133</v>
      </c>
      <c r="D12" s="8" t="s">
        <v>134</v>
      </c>
      <c r="E12" s="12" t="s">
        <v>122</v>
      </c>
    </row>
    <row r="13" customFormat="false" ht="23.25" hidden="false" customHeight="true" outlineLevel="0" collapsed="false">
      <c r="A13" s="8" t="n">
        <v>12</v>
      </c>
      <c r="B13" s="8" t="s">
        <v>119</v>
      </c>
      <c r="C13" s="9" t="s">
        <v>135</v>
      </c>
      <c r="D13" s="8" t="s">
        <v>136</v>
      </c>
      <c r="E13" s="12" t="s">
        <v>122</v>
      </c>
    </row>
    <row r="14" customFormat="false" ht="23.25" hidden="false" customHeight="true" outlineLevel="0" collapsed="false">
      <c r="A14" s="8" t="n">
        <v>13</v>
      </c>
      <c r="B14" s="8" t="s">
        <v>119</v>
      </c>
      <c r="C14" s="9" t="s">
        <v>137</v>
      </c>
      <c r="D14" s="8" t="s">
        <v>138</v>
      </c>
      <c r="E14" s="12" t="s">
        <v>122</v>
      </c>
    </row>
    <row r="15" customFormat="false" ht="68.25" hidden="false" customHeight="true" outlineLevel="0" collapsed="false">
      <c r="A15" s="8" t="n">
        <v>14</v>
      </c>
      <c r="B15" s="8" t="s">
        <v>119</v>
      </c>
      <c r="C15" s="9" t="s">
        <v>139</v>
      </c>
      <c r="D15" s="8" t="s">
        <v>140</v>
      </c>
      <c r="E15" s="12" t="s">
        <v>122</v>
      </c>
    </row>
  </sheetData>
  <autoFilter ref="A1:E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14"/>
    <col collapsed="false" customWidth="true" hidden="false" outlineLevel="0" max="3" min="3" style="1" width="32"/>
    <col collapsed="false" customWidth="true" hidden="false" outlineLevel="0" max="4" min="4" style="1" width="55"/>
    <col collapsed="false" customWidth="true" hidden="false" outlineLevel="0" max="5" min="5" style="1" width="45"/>
  </cols>
  <sheetData>
    <row r="1" customFormat="false" ht="25.5" hidden="false" customHeight="true" outlineLevel="0" collapsed="false">
      <c r="A1" s="5" t="s">
        <v>10</v>
      </c>
      <c r="B1" s="5" t="s">
        <v>11</v>
      </c>
      <c r="C1" s="5" t="s">
        <v>12</v>
      </c>
      <c r="D1" s="5" t="s">
        <v>13</v>
      </c>
      <c r="E1" s="5" t="s">
        <v>141</v>
      </c>
    </row>
    <row r="2" customFormat="false" ht="23.25" hidden="false" customHeight="true" outlineLevel="0" collapsed="false">
      <c r="A2" s="13" t="n">
        <v>1</v>
      </c>
      <c r="B2" s="13" t="s">
        <v>142</v>
      </c>
      <c r="C2" s="14" t="s">
        <v>143</v>
      </c>
      <c r="D2" s="13" t="s">
        <v>144</v>
      </c>
      <c r="E2" s="13" t="s">
        <v>145</v>
      </c>
    </row>
    <row r="3" customFormat="false" ht="23.25" hidden="false" customHeight="true" outlineLevel="0" collapsed="false">
      <c r="A3" s="13" t="n">
        <v>2</v>
      </c>
      <c r="B3" s="13" t="s">
        <v>15</v>
      </c>
      <c r="C3" s="14" t="s">
        <v>146</v>
      </c>
      <c r="D3" s="13" t="s">
        <v>147</v>
      </c>
      <c r="E3" s="13" t="s">
        <v>148</v>
      </c>
    </row>
    <row r="4" customFormat="false" ht="34.5" hidden="false" customHeight="true" outlineLevel="0" collapsed="false">
      <c r="A4" s="13" t="n">
        <v>3</v>
      </c>
      <c r="B4" s="13" t="s">
        <v>142</v>
      </c>
      <c r="C4" s="14" t="s">
        <v>149</v>
      </c>
      <c r="D4" s="13" t="s">
        <v>150</v>
      </c>
      <c r="E4" s="13" t="s">
        <v>151</v>
      </c>
    </row>
    <row r="5" customFormat="false" ht="23.25" hidden="false" customHeight="true" outlineLevel="0" collapsed="false">
      <c r="A5" s="13" t="n">
        <v>4</v>
      </c>
      <c r="B5" s="13" t="s">
        <v>152</v>
      </c>
      <c r="C5" s="14" t="s">
        <v>153</v>
      </c>
      <c r="D5" s="13" t="s">
        <v>154</v>
      </c>
      <c r="E5" s="13" t="s">
        <v>155</v>
      </c>
    </row>
    <row r="6" customFormat="false" ht="23.25" hidden="false" customHeight="true" outlineLevel="0" collapsed="false">
      <c r="A6" s="13" t="n">
        <v>5</v>
      </c>
      <c r="B6" s="13" t="s">
        <v>156</v>
      </c>
      <c r="C6" s="14" t="s">
        <v>157</v>
      </c>
      <c r="D6" s="13" t="s">
        <v>158</v>
      </c>
      <c r="E6" s="13" t="s">
        <v>159</v>
      </c>
    </row>
    <row r="7" customFormat="false" ht="23.25" hidden="false" customHeight="true" outlineLevel="0" collapsed="false">
      <c r="A7" s="13" t="n">
        <v>6</v>
      </c>
      <c r="B7" s="13" t="s">
        <v>156</v>
      </c>
      <c r="C7" s="14" t="s">
        <v>160</v>
      </c>
      <c r="D7" s="13" t="s">
        <v>161</v>
      </c>
      <c r="E7" s="13" t="s">
        <v>162</v>
      </c>
    </row>
    <row r="8" customFormat="false" ht="34.5" hidden="false" customHeight="true" outlineLevel="0" collapsed="false">
      <c r="A8" s="13" t="n">
        <v>7</v>
      </c>
      <c r="B8" s="13" t="s">
        <v>156</v>
      </c>
      <c r="C8" s="14" t="s">
        <v>163</v>
      </c>
      <c r="D8" s="13" t="s">
        <v>164</v>
      </c>
      <c r="E8" s="13" t="s">
        <v>165</v>
      </c>
    </row>
    <row r="9" customFormat="false" ht="23.25" hidden="false" customHeight="true" outlineLevel="0" collapsed="false">
      <c r="A9" s="13" t="n">
        <v>8</v>
      </c>
      <c r="B9" s="13" t="s">
        <v>152</v>
      </c>
      <c r="C9" s="14" t="s">
        <v>166</v>
      </c>
      <c r="D9" s="13" t="s">
        <v>167</v>
      </c>
      <c r="E9" s="13" t="s">
        <v>159</v>
      </c>
    </row>
    <row r="10" customFormat="false" ht="23.25" hidden="false" customHeight="true" outlineLevel="0" collapsed="false">
      <c r="A10" s="13" t="n">
        <v>9</v>
      </c>
      <c r="B10" s="13" t="s">
        <v>152</v>
      </c>
      <c r="C10" s="14" t="s">
        <v>168</v>
      </c>
      <c r="D10" s="13" t="s">
        <v>169</v>
      </c>
      <c r="E10" s="13" t="s">
        <v>159</v>
      </c>
    </row>
    <row r="11" customFormat="false" ht="23.25" hidden="false" customHeight="true" outlineLevel="0" collapsed="false">
      <c r="A11" s="13" t="n">
        <v>10</v>
      </c>
      <c r="B11" s="13" t="s">
        <v>152</v>
      </c>
      <c r="C11" s="14" t="s">
        <v>170</v>
      </c>
      <c r="D11" s="13" t="s">
        <v>171</v>
      </c>
      <c r="E11" s="13" t="s">
        <v>159</v>
      </c>
    </row>
    <row r="12" customFormat="false" ht="23.25" hidden="false" customHeight="true" outlineLevel="0" collapsed="false">
      <c r="A12" s="13" t="n">
        <v>11</v>
      </c>
      <c r="B12" s="13" t="s">
        <v>172</v>
      </c>
      <c r="C12" s="14" t="s">
        <v>173</v>
      </c>
      <c r="D12" s="13" t="s">
        <v>174</v>
      </c>
      <c r="E12" s="13" t="s">
        <v>175</v>
      </c>
    </row>
    <row r="13" customFormat="false" ht="23.25" hidden="false" customHeight="true" outlineLevel="0" collapsed="false">
      <c r="A13" s="13" t="n">
        <v>12</v>
      </c>
      <c r="B13" s="13" t="s">
        <v>172</v>
      </c>
      <c r="C13" s="14" t="s">
        <v>176</v>
      </c>
      <c r="D13" s="13" t="s">
        <v>177</v>
      </c>
      <c r="E13" s="13" t="s">
        <v>178</v>
      </c>
    </row>
    <row r="14" customFormat="false" ht="23.25" hidden="false" customHeight="true" outlineLevel="0" collapsed="false">
      <c r="A14" s="13" t="n">
        <v>13</v>
      </c>
      <c r="B14" s="13" t="s">
        <v>179</v>
      </c>
      <c r="C14" s="14" t="s">
        <v>180</v>
      </c>
      <c r="D14" s="13" t="s">
        <v>181</v>
      </c>
      <c r="E14" s="13" t="s">
        <v>182</v>
      </c>
    </row>
    <row r="15" customFormat="false" ht="57" hidden="false" customHeight="true" outlineLevel="0" collapsed="false">
      <c r="A15" s="13" t="n">
        <v>14</v>
      </c>
      <c r="B15" s="13" t="s">
        <v>156</v>
      </c>
      <c r="C15" s="14" t="s">
        <v>183</v>
      </c>
      <c r="D15" s="13" t="s">
        <v>184</v>
      </c>
      <c r="E15" s="13" t="s">
        <v>185</v>
      </c>
    </row>
    <row r="16" customFormat="false" ht="23.25" hidden="false" customHeight="true" outlineLevel="0" collapsed="false"/>
  </sheetData>
  <autoFilter ref="A1:E15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26"/>
    <col collapsed="false" customWidth="true" hidden="false" outlineLevel="0" max="3" min="3" style="1" width="48"/>
    <col collapsed="false" customWidth="true" hidden="false" outlineLevel="0" max="4" min="4" style="1" width="16"/>
    <col collapsed="false" customWidth="true" hidden="false" outlineLevel="0" max="6" min="5" style="1" width="10"/>
    <col collapsed="false" customWidth="true" hidden="false" outlineLevel="0" max="7" min="7" style="1" width="45"/>
  </cols>
  <sheetData>
    <row r="1" customFormat="false" ht="25.5" hidden="false" customHeight="true" outlineLevel="0" collapsed="false">
      <c r="A1" s="5" t="s">
        <v>10</v>
      </c>
      <c r="B1" s="5" t="s">
        <v>30</v>
      </c>
      <c r="C1" s="5" t="s">
        <v>186</v>
      </c>
      <c r="D1" s="5" t="s">
        <v>187</v>
      </c>
      <c r="E1" s="5" t="s">
        <v>188</v>
      </c>
      <c r="F1" s="5" t="s">
        <v>189</v>
      </c>
      <c r="G1" s="5" t="s">
        <v>190</v>
      </c>
    </row>
    <row r="2" customFormat="false" ht="34.5" hidden="false" customHeight="true" outlineLevel="0" collapsed="false">
      <c r="A2" s="8" t="n">
        <v>1</v>
      </c>
      <c r="B2" s="9" t="s">
        <v>191</v>
      </c>
      <c r="C2" s="8" t="s">
        <v>192</v>
      </c>
      <c r="D2" s="8" t="s">
        <v>193</v>
      </c>
      <c r="E2" s="11" t="s">
        <v>194</v>
      </c>
      <c r="F2" s="8" t="s">
        <v>194</v>
      </c>
      <c r="G2" s="8" t="s">
        <v>195</v>
      </c>
    </row>
    <row r="3" customFormat="false" ht="57" hidden="false" customHeight="true" outlineLevel="0" collapsed="false">
      <c r="A3" s="8" t="n">
        <v>2</v>
      </c>
      <c r="B3" s="9" t="s">
        <v>196</v>
      </c>
      <c r="C3" s="8" t="s">
        <v>197</v>
      </c>
      <c r="D3" s="8" t="s">
        <v>198</v>
      </c>
      <c r="E3" s="7" t="s">
        <v>115</v>
      </c>
      <c r="F3" s="8" t="s">
        <v>194</v>
      </c>
      <c r="G3" s="8" t="s">
        <v>199</v>
      </c>
    </row>
    <row r="4" customFormat="false" ht="57" hidden="false" customHeight="true" outlineLevel="0" collapsed="false">
      <c r="A4" s="8" t="n">
        <v>3</v>
      </c>
      <c r="B4" s="9" t="s">
        <v>200</v>
      </c>
      <c r="C4" s="8" t="s">
        <v>201</v>
      </c>
      <c r="D4" s="8" t="s">
        <v>198</v>
      </c>
      <c r="E4" s="7" t="s">
        <v>115</v>
      </c>
      <c r="F4" s="8" t="s">
        <v>194</v>
      </c>
      <c r="G4" s="8" t="s">
        <v>202</v>
      </c>
    </row>
    <row r="5" customFormat="false" ht="34.5" hidden="false" customHeight="true" outlineLevel="0" collapsed="false">
      <c r="A5" s="8" t="n">
        <v>4</v>
      </c>
      <c r="B5" s="9" t="s">
        <v>203</v>
      </c>
      <c r="C5" s="8" t="s">
        <v>204</v>
      </c>
      <c r="D5" s="8" t="s">
        <v>205</v>
      </c>
      <c r="E5" s="11" t="s">
        <v>194</v>
      </c>
      <c r="F5" s="8" t="s">
        <v>194</v>
      </c>
      <c r="G5" s="8" t="s">
        <v>206</v>
      </c>
    </row>
    <row r="6" customFormat="false" ht="34.5" hidden="false" customHeight="true" outlineLevel="0" collapsed="false">
      <c r="A6" s="8" t="n">
        <v>5</v>
      </c>
      <c r="B6" s="9" t="s">
        <v>207</v>
      </c>
      <c r="C6" s="8" t="s">
        <v>208</v>
      </c>
      <c r="D6" s="8" t="s">
        <v>193</v>
      </c>
      <c r="E6" s="7" t="s">
        <v>115</v>
      </c>
      <c r="F6" s="8" t="s">
        <v>209</v>
      </c>
      <c r="G6" s="8" t="s">
        <v>210</v>
      </c>
    </row>
    <row r="7" customFormat="false" ht="23.25" hidden="false" customHeight="true" outlineLevel="0" collapsed="false">
      <c r="A7" s="8" t="n">
        <v>6</v>
      </c>
      <c r="B7" s="9" t="s">
        <v>211</v>
      </c>
      <c r="C7" s="8" t="s">
        <v>212</v>
      </c>
      <c r="D7" s="8" t="s">
        <v>193</v>
      </c>
      <c r="E7" s="11" t="s">
        <v>194</v>
      </c>
      <c r="F7" s="8" t="s">
        <v>209</v>
      </c>
      <c r="G7" s="8" t="s">
        <v>213</v>
      </c>
    </row>
    <row r="8" customFormat="false" ht="34.5" hidden="false" customHeight="true" outlineLevel="0" collapsed="false">
      <c r="A8" s="8" t="n">
        <v>7</v>
      </c>
      <c r="B8" s="9" t="s">
        <v>214</v>
      </c>
      <c r="C8" s="8" t="s">
        <v>215</v>
      </c>
      <c r="D8" s="8" t="s">
        <v>193</v>
      </c>
      <c r="E8" s="12" t="s">
        <v>216</v>
      </c>
      <c r="F8" s="8" t="s">
        <v>209</v>
      </c>
      <c r="G8" s="8" t="s">
        <v>217</v>
      </c>
    </row>
    <row r="9" customFormat="false" ht="68.25" hidden="false" customHeight="true" outlineLevel="0" collapsed="false">
      <c r="A9" s="8" t="n">
        <v>8</v>
      </c>
      <c r="B9" s="9" t="s">
        <v>218</v>
      </c>
      <c r="C9" s="8" t="s">
        <v>219</v>
      </c>
      <c r="D9" s="8" t="s">
        <v>193</v>
      </c>
      <c r="E9" s="11" t="s">
        <v>194</v>
      </c>
      <c r="F9" s="8" t="s">
        <v>194</v>
      </c>
      <c r="G9" s="8" t="s">
        <v>220</v>
      </c>
    </row>
  </sheetData>
  <autoFilter ref="A1:G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2"/>
    <col collapsed="false" customWidth="true" hidden="false" outlineLevel="0" max="2" min="2" style="1" width="14"/>
  </cols>
  <sheetData>
    <row r="1" customFormat="false" ht="17.25" hidden="false" customHeight="true" outlineLevel="0" collapsed="false">
      <c r="A1" s="15" t="s">
        <v>221</v>
      </c>
    </row>
    <row r="3" customFormat="false" ht="15" hidden="false" customHeight="true" outlineLevel="0" collapsed="false">
      <c r="A3" s="16" t="s">
        <v>222</v>
      </c>
      <c r="B3" s="17" t="n">
        <f aca="false">COUNT(Completed!A:A)</f>
        <v>35</v>
      </c>
    </row>
    <row r="4" customFormat="false" ht="15" hidden="false" customHeight="true" outlineLevel="0" collapsed="false">
      <c r="A4" s="16" t="s">
        <v>223</v>
      </c>
      <c r="B4" s="17" t="n">
        <f aca="false">COUNT(Pending!A:A)</f>
        <v>14</v>
      </c>
    </row>
    <row r="5" customFormat="false" ht="15" hidden="false" customHeight="true" outlineLevel="0" collapsed="false">
      <c r="A5" s="18" t="s">
        <v>224</v>
      </c>
      <c r="B5" s="17" t="n">
        <f aca="false">COUNTIF(Pending!E:E,"Urgent")</f>
        <v>2</v>
      </c>
    </row>
    <row r="6" customFormat="false" ht="15" hidden="false" customHeight="true" outlineLevel="0" collapsed="false">
      <c r="A6" s="16" t="s">
        <v>225</v>
      </c>
      <c r="B6" s="17" t="n">
        <f aca="false">COUNT('On Hold'!A:A)</f>
        <v>14</v>
      </c>
    </row>
    <row r="7" customFormat="false" ht="15" hidden="false" customHeight="true" outlineLevel="0" collapsed="false">
      <c r="A7" s="16" t="s">
        <v>226</v>
      </c>
      <c r="B7" s="17" t="n">
        <f aca="false">COUNT('New Features (Backlog)'!A:A)</f>
        <v>8</v>
      </c>
    </row>
    <row r="8" customFormat="false" ht="15" hidden="false" customHeight="true" outlineLevel="0" collapsed="false">
      <c r="A8" s="18" t="s">
        <v>227</v>
      </c>
      <c r="B8" s="17" t="n">
        <f aca="false">COUNTIF('New Features (Backlog)'!E:E,"High")</f>
        <v>3</v>
      </c>
    </row>
    <row r="10" customFormat="false" ht="15" hidden="false" customHeight="true" outlineLevel="0" collapsed="false">
      <c r="A10" s="19" t="s">
        <v>228</v>
      </c>
      <c r="B10" s="19"/>
      <c r="C10" s="19"/>
      <c r="D10" s="19"/>
    </row>
    <row r="11" customFormat="false" ht="31.5" hidden="false" customHeight="true" outlineLevel="0" collapsed="false">
      <c r="A11" s="20" t="s">
        <v>229</v>
      </c>
      <c r="B11" s="20"/>
      <c r="C11" s="20"/>
      <c r="D11" s="20"/>
    </row>
    <row r="12" customFormat="false" ht="31.5" hidden="false" customHeight="true" outlineLevel="0" collapsed="false">
      <c r="A12" s="20" t="s">
        <v>230</v>
      </c>
      <c r="B12" s="20"/>
      <c r="C12" s="20"/>
      <c r="D12" s="20"/>
    </row>
    <row r="13" customFormat="false" ht="31.5" hidden="false" customHeight="true" outlineLevel="0" collapsed="false">
      <c r="A13" s="20" t="s">
        <v>231</v>
      </c>
      <c r="B13" s="20"/>
      <c r="C13" s="20"/>
      <c r="D13" s="20"/>
    </row>
    <row r="14" customFormat="false" ht="31.5" hidden="false" customHeight="true" outlineLevel="0" collapsed="false">
      <c r="A14" s="20" t="s">
        <v>232</v>
      </c>
      <c r="B14" s="20"/>
      <c r="C14" s="20"/>
      <c r="D14" s="20"/>
    </row>
    <row r="15" customFormat="false" ht="31.5" hidden="false" customHeight="true" outlineLevel="0" collapsed="false">
      <c r="A15" s="20" t="s">
        <v>233</v>
      </c>
      <c r="B15" s="20"/>
      <c r="C15" s="20"/>
      <c r="D15" s="20"/>
    </row>
    <row r="16" customFormat="false" ht="31.5" hidden="false" customHeight="true" outlineLevel="0" collapsed="false">
      <c r="A16" s="20" t="s">
        <v>234</v>
      </c>
      <c r="B16" s="20"/>
      <c r="C16" s="20"/>
      <c r="D16" s="20"/>
    </row>
    <row r="17" customFormat="false" ht="15" hidden="false" customHeight="true" outlineLevel="0" collapsed="false">
      <c r="A17" s="21" t="s">
        <v>235</v>
      </c>
    </row>
    <row r="18" customFormat="false" ht="15" hidden="false" customHeight="true" outlineLevel="0" collapsed="false">
      <c r="A18" s="21" t="s">
        <v>236</v>
      </c>
    </row>
  </sheetData>
  <mergeCells count="7">
    <mergeCell ref="A10:D10"/>
    <mergeCell ref="A11:D11"/>
    <mergeCell ref="A12:D12"/>
    <mergeCell ref="A13:D13"/>
    <mergeCell ref="A14:D14"/>
    <mergeCell ref="A15:D15"/>
    <mergeCell ref="A16:D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2026-08-25T17:20:00Z</dcterms:created>
  <dc:creator>openpyxl</dc:creator>
  <dc:description/>
  <dc:language>en-US</dc:language>
  <cp:lastModifiedBy/>
  <dcterms:modified xsi:type="dcterms:W3CDTF">2026-08-26T17:45:42Z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