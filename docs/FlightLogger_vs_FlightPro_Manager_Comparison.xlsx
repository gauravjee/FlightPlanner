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aura\Documents\flightpro-app\docs\"/>
    </mc:Choice>
  </mc:AlternateContent>
  <xr:revisionPtr revIDLastSave="0" documentId="8_{0473A401-A058-48EF-9BF6-D1CD18FC3CAD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Summary" sheetId="1" r:id="rId1"/>
    <sheet name="FlightLogger Features" sheetId="2" r:id="rId2"/>
    <sheet name="Comparison" sheetId="3" r:id="rId3"/>
    <sheet name="Gaps &amp; Priorities" sheetId="4" r:id="rId4"/>
  </sheets>
  <definedNames>
    <definedName name="_xlnm._FilterDatabase" localSheetId="2" hidden="1">Comparison!$A$4:$F$50</definedName>
    <definedName name="_xlnm._FilterDatabase" localSheetId="1" hidden="1">'FlightLogger Features'!$A$4:$D$43</definedName>
    <definedName name="_xlnm._FilterDatabase" localSheetId="3" hidden="1">'Gaps &amp; Priorities'!$A$4:$F$16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" i="1" l="1"/>
  <c r="B11" i="1"/>
  <c r="B10" i="1"/>
  <c r="B7" i="1"/>
  <c r="C7" i="1" s="1"/>
  <c r="B6" i="1"/>
  <c r="C6" i="1" s="1"/>
  <c r="B5" i="1"/>
  <c r="B8" i="1" s="1"/>
  <c r="C5" i="1" l="1"/>
</calcChain>
</file>

<file path=xl/sharedStrings.xml><?xml version="1.0" encoding="utf-8"?>
<sst xmlns="http://schemas.openxmlformats.org/spreadsheetml/2006/main" count="544" uniqueCount="310">
  <si>
    <t>FlightPro Manager vs. FlightLogger — Summary</t>
  </si>
  <si>
    <t>Generated 2026-08-31 from FlightLogger's public feature pages and the FlightPro Manager project handoff (claude/handoff-2026-08-27.md).</t>
  </si>
  <si>
    <t>Status</t>
  </si>
  <si>
    <t>Count</t>
  </si>
  <si>
    <t>% of Compared Features</t>
  </si>
  <si>
    <t>Built</t>
  </si>
  <si>
    <t>Partial</t>
  </si>
  <si>
    <t>Not Built</t>
  </si>
  <si>
    <t>Total features compared</t>
  </si>
  <si>
    <t>P1 (urgent) gaps</t>
  </si>
  <si>
    <t>P2 (important) gaps</t>
  </si>
  <si>
    <t>P3 (lower priority) gaps</t>
  </si>
  <si>
    <t>How to read this workbook</t>
  </si>
  <si>
    <t>• "FlightLogger Features" — the researched feature catalog, by category, with sources.</t>
  </si>
  <si>
    <t>• "Comparison" — every FlightLogger feature matched against FlightPro Manager's actual status (Built / Partial / Not Built), with what exists today and the specific gap.</t>
  </si>
  <si>
    <t>• "Gaps &amp; Priorities" — the same gaps, ranked P1 (urgent) to P3 (lower priority), with why it matters and a concrete next step.</t>
  </si>
  <si>
    <t>• Status colors: green = Built, amber = Partial, red = Not Built — consistent across all sheets.</t>
  </si>
  <si>
    <t>• FlightPro Manager status reflects the project's own handoff doc (claude/handoff-2026-08-27.md) as of 2026-08-27; anything built after that date is not reflected here.</t>
  </si>
  <si>
    <t>FlightLogger — Feature Catalog</t>
  </si>
  <si>
    <t>Compiled from FlightLogger's public website, platform pages, and third-party software directories (GetApp, Software Advice), August 2026.</t>
  </si>
  <si>
    <t>Category</t>
  </si>
  <si>
    <t>Feature</t>
  </si>
  <si>
    <t>Description</t>
  </si>
  <si>
    <t>Source</t>
  </si>
  <si>
    <t>Scheduling &amp; Operations</t>
  </si>
  <si>
    <t>Drag-and-drop scheduling</t>
  </si>
  <si>
    <t>Real-time, conflict-checked drag-and-drop calendar for aircraft, instructors, and students.</t>
  </si>
  <si>
    <t>flightlogger.net/platform</t>
  </si>
  <si>
    <t>Conflict prevention</t>
  </si>
  <si>
    <t>Automatic detection of double-bookings and resource conflicts across aircraft/instructor/student.</t>
  </si>
  <si>
    <t>Group &amp; class scheduling</t>
  </si>
  <si>
    <t>Schedule ground-school classes and group sessions, not just 1:1 flights.</t>
  </si>
  <si>
    <t>softwareadvice.com</t>
  </si>
  <si>
    <t>Online self-service booking</t>
  </si>
  <si>
    <t>Students and instructors can book their own slots through a self-service portal.</t>
  </si>
  <si>
    <t>getapp.com</t>
  </si>
  <si>
    <t>Calendar sync</t>
  </si>
  <si>
    <t>Sync schedules with external calendars (Google/Outlook-style sync).</t>
  </si>
  <si>
    <t>Automated / recurring scheduling</t>
  </si>
  <si>
    <t>Recurring lesson/resource scheduling support.</t>
  </si>
  <si>
    <t>Room / facility / resource booking</t>
  </si>
  <si>
    <t>Booking of classrooms, simulators, and other non-aircraft resources.</t>
  </si>
  <si>
    <t>Student &amp; Training Management</t>
  </si>
  <si>
    <t>Student profiles &amp; centralized records</t>
  </si>
  <si>
    <t>One profile per student holding contact info, documents, and history.</t>
  </si>
  <si>
    <t>Syllabi &amp; training plans</t>
  </si>
  <si>
    <t>Structured, program-specific training plans (PPL/CPL/IR/etc.) assigned to students.</t>
  </si>
  <si>
    <t>Real-time grading &amp; progress tracking</t>
  </si>
  <si>
    <t>Instructors grade exercises in real time; dashboards flag who's on-pace vs falling behind.</t>
  </si>
  <si>
    <t>CBTA Pro (Competency-Based Training &amp; Assessment)</t>
  </si>
  <si>
    <t>A dedicated competency-based assessment framework/module, distinct from basic pass/fail grading.</t>
  </si>
  <si>
    <t>Learning Management System (LMS)</t>
  </si>
  <si>
    <t>Built-in e-learning: course content, quizzes, asynchronous learning, content library.</t>
  </si>
  <si>
    <t>flightlogger.net/platform; softwareadvice.com</t>
  </si>
  <si>
    <t>AI-powered performance summaries</t>
  </si>
  <si>
    <t>AI-generated summaries of a student's performance/progress.</t>
  </si>
  <si>
    <t>Digital logbook</t>
  </si>
  <si>
    <t>Student (and instructor) flight logbook, digitally maintained and exportable.</t>
  </si>
  <si>
    <t>Certificate / medical expiry tracking</t>
  </si>
  <si>
    <t>Tracks license and medical certificate expiry with reminders.</t>
  </si>
  <si>
    <t>People / Instructor Management</t>
  </si>
  <si>
    <t>Instructor assignment &amp; certification tracking</t>
  </si>
  <si>
    <t>Tracks instructor qualifications/ratings and assigns them to students/lessons.</t>
  </si>
  <si>
    <t>Role-based access control</t>
  </si>
  <si>
    <t>Granular permissions by role across the platform.</t>
  </si>
  <si>
    <t>Employee management &amp; timesheets</t>
  </si>
  <si>
    <t>Staff records and timesheet/duty tracking.</t>
  </si>
  <si>
    <t>Flight Time Limitation (FTL) tracking</t>
  </si>
  <si>
    <t>Tracks duty/flight-time limitations for regulatory compliance (crew fatigue rules).</t>
  </si>
  <si>
    <t>Aircraft &amp; Maintenance</t>
  </si>
  <si>
    <t>Aircraft status &amp; fleet tracking</t>
  </si>
  <si>
    <t>Live status (active/AOG/maintenance) across the fleet, multi-location.</t>
  </si>
  <si>
    <t>Maintenance logging &amp; squawks</t>
  </si>
  <si>
    <t>Pilots/mechanics log defects ("squawks") and maintenance actions against an aircraft.</t>
  </si>
  <si>
    <t>Maintenance scheduling</t>
  </si>
  <si>
    <t>Hour/calendar-based maintenance due tracking, tied to operational availability.</t>
  </si>
  <si>
    <t>Safety</t>
  </si>
  <si>
    <t>Safety Management System (SMS)</t>
  </si>
  <si>
    <t>Structured hazard/risk reporting and mitigation workflow, an SMS pillar of the platform.</t>
  </si>
  <si>
    <t>Audit trail</t>
  </si>
  <si>
    <t>System-wide audit logging for compliance review.</t>
  </si>
  <si>
    <t>Compliance &amp; Reporting</t>
  </si>
  <si>
    <t>Digital sign-offs</t>
  </si>
  <si>
    <t>Electronic sign-off on lessons/exams/stage checks.</t>
  </si>
  <si>
    <t>Regulator-ready compliance reports</t>
  </si>
  <si>
    <t>Historical/compliance reports generated for EASA, FAA, CASA, etc.</t>
  </si>
  <si>
    <t>Customizable reports</t>
  </si>
  <si>
    <t>User-configurable report templates beyond the built-in set.</t>
  </si>
  <si>
    <t>Finance</t>
  </si>
  <si>
    <t>User Balance Module (billing)</t>
  </si>
  <si>
    <t>Tracks each student's prepaid balance/account, deducted as lessons are flown.</t>
  </si>
  <si>
    <t>Invoicing</t>
  </si>
  <si>
    <t>Generates and manages invoices for training/flight charges.</t>
  </si>
  <si>
    <t>QuickBooks integration</t>
  </si>
  <si>
    <t>Syncs financial data with QuickBooks accounting software.</t>
  </si>
  <si>
    <t>Business Insights / analytics</t>
  </si>
  <si>
    <t>Dashboards and analytics on operational and financial performance.</t>
  </si>
  <si>
    <t>Communication</t>
  </si>
  <si>
    <t>Centralized communication &amp; document hub</t>
  </si>
  <si>
    <t>Team messaging and document/content sharing in one place.</t>
  </si>
  <si>
    <t>Alerts &amp; notifications</t>
  </si>
  <si>
    <t>Automated reminders and real-time notifications (expiries, schedule changes, etc.).</t>
  </si>
  <si>
    <t>Technical / Platform</t>
  </si>
  <si>
    <t>Mobile access</t>
  </si>
  <si>
    <t>Mobile-accessible interface for schedules, records, etc.</t>
  </si>
  <si>
    <t>getapp.com; softwareadvice.com</t>
  </si>
  <si>
    <t>API access</t>
  </si>
  <si>
    <t>Public API for custom integrations with other systems.</t>
  </si>
  <si>
    <t>Single sign-on (SSO)</t>
  </si>
  <si>
    <t>SSO login support for organizations.</t>
  </si>
  <si>
    <t>Multi-location / multi-campus support</t>
  </si>
  <si>
    <t>Manages multiple FTO bases/campuses in one instance.</t>
  </si>
  <si>
    <t>Customizable branding &amp; fields</t>
  </si>
  <si>
    <t>White-label branding and custom data fields.</t>
  </si>
  <si>
    <t>Self-service student portal</t>
  </si>
  <si>
    <t>Students log in to view their own schedule, progress, and records.</t>
  </si>
  <si>
    <t>FlightLogger vs. FlightPro Manager — Feature Comparison</t>
  </si>
  <si>
    <t>FlightPro Manager status as of the 2026-08-27 engagement handoff. Built = live in production. Partial = exists but limited/manual. Not Built = no equivalent in the app today.</t>
  </si>
  <si>
    <t>FlightLogger</t>
  </si>
  <si>
    <t>FlightPro Manager Status</t>
  </si>
  <si>
    <t>What FlightPro Manager Has Today</t>
  </si>
  <si>
    <t>Gap / Note</t>
  </si>
  <si>
    <t>Aircraft / instructor / student scheduling</t>
  </si>
  <si>
    <t>Yes</t>
  </si>
  <si>
    <t>Schedule Board + Booking Form with double-booking, weekly-off-day, partial (occurrence-based) weekly-off, and holiday conflict checks.</t>
  </si>
  <si>
    <t>Core capability matches. FlightLogger's board is drag-and-drop; ours is form-based booking, not drag-to-reschedule.</t>
  </si>
  <si>
    <t>Drag-and-drop calendar rescheduling</t>
  </si>
  <si>
    <t>Bookings are created/edited via a form (BookingForm), not dragged on the calendar.</t>
  </si>
  <si>
    <t>Nice-to-have UX gap, not a functional one — reschedule still works, just via edit form.</t>
  </si>
  <si>
    <t>Online self-service booking (student-initiated)</t>
  </si>
  <si>
    <t>Students have their own dashboard login and can view their schedule/progress; booking itself is role-gated (staff-oriented BookingForm), instructor self-booking permission exists.</t>
  </si>
  <si>
    <t>Confirm whether students can actually create their own bookings today, or only staff book on their behalf — if the latter, this is a real gap for schools wanting student self-scheduling.</t>
  </si>
  <si>
    <t>Calendar sync (Google/Outlook)</t>
  </si>
  <si>
    <t>—</t>
  </si>
  <si>
    <t>No external calendar sync exists.</t>
  </si>
  <si>
    <t>Recurring / automated scheduling</t>
  </si>
  <si>
    <t>Every booking is created individually; no recurring-lesson templates.</t>
  </si>
  <si>
    <t>Room / simulator / non-aircraft resource booking</t>
  </si>
  <si>
    <t>Aircraft (incl. an is_simulator flag) can be booked; no generic classroom/room booking.</t>
  </si>
  <si>
    <t>Minor — could reuse the aircraft/simulator booking flow if a school needs standalone room booking.</t>
  </si>
  <si>
    <t>Ground-school class scheduling</t>
  </si>
  <si>
    <t>GroundSchoolCalendar module schedules classes with the same weekly-off/holiday rules.</t>
  </si>
  <si>
    <t>Matches.</t>
  </si>
  <si>
    <t>Weather / NOTAM on dashboard</t>
  </si>
  <si>
    <t>Not advertised</t>
  </si>
  <si>
    <t>FAA NOTAM feed + METAR weather widget on the dashboard home page.</t>
  </si>
  <si>
    <t>Ahead of FlightLogger's public feature list — a genuine differentiator, not a gap.</t>
  </si>
  <si>
    <t>Student profiles / centralized records</t>
  </si>
  <si>
    <t>Full student profile: contact info, DOB, medical, SPL, training stage, documents.</t>
  </si>
  <si>
    <t>Syllabi / training programs per course</t>
  </si>
  <si>
    <t>Training Programs (PPL/CPL/IR/Multi) with per-program hour requirements (solo, cross-country, night, instrument, multi-engine, simulator).</t>
  </si>
  <si>
    <t>Matches, DGCA-tailored.</t>
  </si>
  <si>
    <t>Requirements / stage-check tracking</t>
  </si>
  <si>
    <t>Yes (via CBTA/progress)</t>
  </si>
  <si>
    <t>Requirements Checklist per student, DGCA roll-number + exam-score capture at 3 entry points.</t>
  </si>
  <si>
    <t>Real-time grading / debrief per flight</t>
  </si>
  <si>
    <t>Debrief form captures exercise grading per flight; Flight Records store the sortie detail.</t>
  </si>
  <si>
    <t>Matches at a basic pass/fail-plus-notes level.</t>
  </si>
  <si>
    <t>Competency-Based Training &amp; Assessment (CBTA)</t>
  </si>
  <si>
    <t>Yes (CBTA Pro)</t>
  </si>
  <si>
    <t>Grading today is per-exercise complete/incomplete + free-text debrief notes.</t>
  </si>
  <si>
    <t>No structured competency framework (e.g. ICAO/EASA-style competency scoring, standardised skill rubrics) — grading is simpler than FlightLogger's CBTA module.</t>
  </si>
  <si>
    <t>Learning Management System (e-learning content, quizzes)</t>
  </si>
  <si>
    <t>Ground School module tracks class attendance and DGCA exam results (pass/fail/score/roll number) — it does not host course content or quizzes.</t>
  </si>
  <si>
    <t>Real gap if the FTO wants to deliver ground-school material and self-graded quizzes in-app rather than in person.</t>
  </si>
  <si>
    <t>No AI-generated progress summaries; progress is shown as raw hours/percentages.</t>
  </si>
  <si>
    <t>Digital student logbook (export)</t>
  </si>
  <si>
    <t>generateStudentLogbook() PDF export via jsPDF/autotable.</t>
  </si>
  <si>
    <t>License / medical expiry tracking + alerts</t>
  </si>
  <si>
    <t>SPL/CPL auto-expiry from issue date (10yr, -1 day inclusive), DGCA Class 1 age-based medical auto-expiry (12mo/6mo), UI badges + email alerts via cron.</t>
  </si>
  <si>
    <t>Matches, and the DGCA age-based medical rule is more India-specific than FlightLogger's generic tracking.</t>
  </si>
  <si>
    <t>Instructor profiles &amp; certification tracking</t>
  </si>
  <si>
    <t>Instructor records with CPL/license number, issue/expiry dates, ratings.</t>
  </si>
  <si>
    <t>Role-based permissions</t>
  </si>
  <si>
    <t>10+ roles (admin/super_admin/instructor/operations/maintenance/safety_officer/student/etc.) plus PER-USER permission overrides.</t>
  </si>
  <si>
    <t>Matches, and the per-user override layer is more granular than a typical fixed role model.</t>
  </si>
  <si>
    <t>Employee timesheets / duty logging</t>
  </si>
  <si>
    <t>No staff timesheet or duty-hour logging.</t>
  </si>
  <si>
    <t>Flight Time Limitation (FTL) / duty-time compliance</t>
  </si>
  <si>
    <t>No tracking of instructor/pilot duty hours or rest requirements — a real compliance gap if DGCA has FTL-style rules for instructors.</t>
  </si>
  <si>
    <t>Aircraft fleet &amp; status tracking</t>
  </si>
  <si>
    <t>9-model fleet, Type/Model DB-driven dropdown, ACTIVE/MAINTENANCE status, fuel tracking.</t>
  </si>
  <si>
    <t>Maintenance due tracking (hour/calendar based)</t>
  </si>
  <si>
    <t>Aircraft Maintenance Schedule Phase 1: per-model templates, hobbs/calendar due computation, non-blocking Due panel with Set-Baseline/Create-Record actions.</t>
  </si>
  <si>
    <t>Matches; Phase 2 (hard-blocking bookings on overdue mandatory items) explicitly deferred — see gap note.</t>
  </si>
  <si>
    <t>Hard enforcement — block booking an overdue aircraft</t>
  </si>
  <si>
    <t>Implied by "align availability with schedule"</t>
  </si>
  <si>
    <t>Due panel is a non-blocking warning only.</t>
  </si>
  <si>
    <t>Logged as this engagement's own Phase 2 backlog item — an aircraft can still be booked while overdue on maintenance.</t>
  </si>
  <si>
    <t>Pilot-reported squawks / defect reporting</t>
  </si>
  <si>
    <t>Maintenance Records exist but are staff-entered (Log Maintenance screen); no quick post-flight "report a defect" flow for pilots/instructors.</t>
  </si>
  <si>
    <t>Gap — FlightLogger explicitly calls out squawk management as pilots' own reporting channel.</t>
  </si>
  <si>
    <t>Structured Safety Management System (hazard/risk workflow)</t>
  </si>
  <si>
    <t>Yes (SMS pillar)</t>
  </si>
  <si>
    <t>Safety Incident capture exists as a panel on the Daily Flying Report page (basic fields: date/time, aircraft, people, description, severity).</t>
  </si>
  <si>
    <t>Gap — no risk-matrix, hazard register, corrective-action tracking, or trend analysis; today it's a log, not a workflow.</t>
  </si>
  <si>
    <t>Breath Analyser (BA) test register + reporting</t>
  </si>
  <si>
    <t>Not a standard FlightLogger feature</t>
  </si>
  <si>
    <t>Full BA Test Register (digitized paper form) + a separate Daily/Weekly/Monthly Breath Analysis Report with PDF/Excel export.</t>
  </si>
  <si>
    <t>Ahead of FlightLogger's public feature set — likely specific to this FTO's/DGCA's requirements.</t>
  </si>
  <si>
    <t>DGCA-format Maintenance Log &amp; Incident Report</t>
  </si>
  <si>
    <t>N/A (region-specific)</t>
  </si>
  <si>
    <t>Draft Word templates delivered (built from CAR/ICAO Annex 13 convention, not the FTO's actual DGCA forms) — not yet wired into the app as real data-entry screens.</t>
  </si>
  <si>
    <t>User still needs to verify drafts against real DGCA CA Form 19-10 / CAR Section 5 paperwork before this becomes a built feature, not just a template.</t>
  </si>
  <si>
    <t>Digital sign-offs on lessons/exams</t>
  </si>
  <si>
    <t>Requirements/exam completion is toggled by role-gated staff action (server-verified), with completedBy recorded — functionally a sign-off, but no e-signature capture.</t>
  </si>
  <si>
    <t>Close enough for an internal audit trail; not a formal signature artifact.</t>
  </si>
  <si>
    <t>Regulator-ready historical/compliance report packs</t>
  </si>
  <si>
    <t>Yes (EASA/FAA/CASA)</t>
  </si>
  <si>
    <t>Individual reports exist (Daily Flying Report, Breath Analysis Report, Student Logbook) but no single "compliance pack" export for a DGCA audit.</t>
  </si>
  <si>
    <t>Worth a single consolidated audit-export feature if DGCA inspections are a recurring need.</t>
  </si>
  <si>
    <t>Customizable / user-built report templates</t>
  </si>
  <si>
    <t>Reports are fixed, purpose-built pages.</t>
  </si>
  <si>
    <t>No ad-hoc report builder; adding a new report type requires a code change.</t>
  </si>
  <si>
    <t>Student account balance / prepaid-hours tracking</t>
  </si>
  <si>
    <t>Yes (User Balance Module)</t>
  </si>
  <si>
    <t>Largest functional gap versus FlightLogger — no way to track how much a student has paid, owes, or has prepaid.</t>
  </si>
  <si>
    <t>No invoice generation anywhere in the app.</t>
  </si>
  <si>
    <t>Payment processing</t>
  </si>
  <si>
    <t>Implied</t>
  </si>
  <si>
    <t>No payment collection/integration.</t>
  </si>
  <si>
    <t>Accounting integration (QuickBooks, etc.)</t>
  </si>
  <si>
    <t>No accounting-system integration.</t>
  </si>
  <si>
    <t>Business Insights / financial analytics</t>
  </si>
  <si>
    <t>Dashboard shows operational widgets (fuel, NOTAM) but no financial or fleet-utilization analytics.</t>
  </si>
  <si>
    <t>No revenue, utilization-rate, or instructor-productivity dashboards.</t>
  </si>
  <si>
    <t>Internal messaging / announcements</t>
  </si>
  <si>
    <t>No in-app messaging or announcement board.</t>
  </si>
  <si>
    <t>Document / content library</t>
  </si>
  <si>
    <t>No shared document repository (SOPs, forms, manuals) inside the app.</t>
  </si>
  <si>
    <t>Automated alerts (expiry, schedule, etc.)</t>
  </si>
  <si>
    <t>Cron-driven email alerts for medical/SPL/CPL expiry via Resend; NOTAM alerts on dashboard.</t>
  </si>
  <si>
    <t>Matches for expiry-driven alerts; no push notifications or schedule-change alerts yet.</t>
  </si>
  <si>
    <t>Web application</t>
  </si>
  <si>
    <t>Next.js/Supabase web app, responsive.</t>
  </si>
  <si>
    <t>Dedicated mobile app</t>
  </si>
  <si>
    <t>Yes (mobile access)</t>
  </si>
  <si>
    <t>Web app only, no native iOS/Android app.</t>
  </si>
  <si>
    <t>Gap if staff/students expect an installable app rather than mobile web.</t>
  </si>
  <si>
    <t>Public API for integrations</t>
  </si>
  <si>
    <t>No documented public API; all logic is internal Next.js API routes.</t>
  </si>
  <si>
    <t>Standard email/password login (NextAuth-style).</t>
  </si>
  <si>
    <t>No SSO/SAML/OAuth for organizational login.</t>
  </si>
  <si>
    <t>Single-organization, single-base data model.</t>
  </si>
  <si>
    <t>Not needed unless this FTO expands to a second base.</t>
  </si>
  <si>
    <t>Customizable branding</t>
  </si>
  <si>
    <t>Org logo upload (Settings), theme (light/dark) support.</t>
  </si>
  <si>
    <t>Matches at a basic level; no white-label domain/color-scheme customization.</t>
  </si>
  <si>
    <t>Students log in to `/dashboard/student` to see their own progress, requirements, and records.</t>
  </si>
  <si>
    <t>Where FlightPro Manager Is Lagging — Prioritized Gap List</t>
  </si>
  <si>
    <t>Ranked by rough impact-to-effort. "Effort" is a sandbox-side estimate of engineering scope, not a committed timeline.</t>
  </si>
  <si>
    <t>Priority</t>
  </si>
  <si>
    <t>Area</t>
  </si>
  <si>
    <t>Gap</t>
  </si>
  <si>
    <t>Why It Matters</t>
  </si>
  <si>
    <t>Recommendation</t>
  </si>
  <si>
    <t>Rough Effort</t>
  </si>
  <si>
    <t>P1</t>
  </si>
  <si>
    <t>No billing / invoicing / student account balance tracking</t>
  </si>
  <si>
    <t>Every FTO needs to know what each student owes or has prepaid — this is core day-to-day operations, not a nice-to-have. It's the single largest capability gap versus FlightLogger.</t>
  </si>
  <si>
    <t>Add a student ledger: a `student_ledger`/`payments` table, manual credit/debit entries tied to flights (auto-debit on a completed Flight Record), a balance badge on the student profile, and a simple invoice/receipt PDF export. Defer full payment-gateway/QuickBooks integration to a later phase.</t>
  </si>
  <si>
    <t>Large (new table, new UI section, ties into Flight Records)</t>
  </si>
  <si>
    <t>Safety incident capture is a log, not a workflow</t>
  </si>
  <si>
    <t>A real SMS needs hazard identification, a risk rating, assigned corrective actions, and closure tracking — today's Safety Incident panel only records what happened.</t>
  </si>
  <si>
    <t>Extend `safety_incidents` with severity/likelihood risk-matrix fields, an `assigned_to` + `corrective_action` + `status` (Open/In Progress/Closed) set of columns, and a dedicated Safety dashboard listing open items by status/age.</t>
  </si>
  <si>
    <t>Medium (schema extension + one new page, reuses existing incident data)</t>
  </si>
  <si>
    <t>No pilot-facing squawk/defect reporting</t>
  </si>
  <si>
    <t>FlightLogger explicitly treats squawks as a pilot-initiated workflow. Right now only staff can log a maintenance issue via the full Maintenance form — a pilot who notices a problem after a flight has no quick way to flag it.</t>
  </si>
  <si>
    <t>Add a lightweight "Report a Defect" action (visible to instructor/student roles) that creates a maintenance_records row with status SCHEDULED and a short description — same table, smaller form, wider access.</t>
  </si>
  <si>
    <t>Small (new form + one API permission change)</t>
  </si>
  <si>
    <t>Compliance</t>
  </si>
  <si>
    <t>No Flight Time Limitation / duty-time tracking for instructors</t>
  </si>
  <si>
    <t>If DGCA (or the FTO's own policy) caps instructor duty/flight hours per day/week, there's currently no automated tracking or warning — this is a safety-and-compliance blind spot, not just a missing report.</t>
  </si>
  <si>
    <t>Confirm whether DGCA imposes an FTL-style rule for FTO instructors; if so, compute rolling duty/flight hours from existing Flight Records/Scheduled Flights and add a warning badge, mirroring the medical/SPL expiry-badge pattern already built.</t>
  </si>
  <si>
    <t>Medium (mostly a computed view over data that already exists)</t>
  </si>
  <si>
    <t>P2</t>
  </si>
  <si>
    <t>Ground School has no e-learning content (no real LMS)</t>
  </si>
  <si>
    <t>Attendance and exam results are tracked, but there's no way to deliver course material, reading, or quizzes in-app — students still need an external source for ground-school content.</t>
  </si>
  <si>
    <t>Scope this explicitly with the user before building: is in-app content delivery actually wanted, or is Ground School meant to stay attendance/exam-tracking only? If wanted, start small — a subject can hold an uploaded PDF/link plus an optional multiple-choice quiz.</t>
  </si>
  <si>
    <t>Large if full LMS; Small if just "attach a document to a subject"</t>
  </si>
  <si>
    <t>Maintenance Phase 2 (hard-blocking overdue aircraft) not built</t>
  </si>
  <si>
    <t>An aircraft that's overdue on a mandatory item can still be booked and flown — the Due panel is a warning, not a gate. This was deliberately deferred by the user in the original design, but it's the natural next step once Phase 1 has run cleanly for a while.</t>
  </si>
  <si>
    <t>Once Phase 1 has been live and trusted for a few weeks with clean baseline data, add a booking-time check that blocks (or requires an override reason from a permitted role) if the selected aircraft has any OVERDUE item.</t>
  </si>
  <si>
    <t>Small-Medium (one new check in the existing booking-block logic)</t>
  </si>
  <si>
    <t>Reporting</t>
  </si>
  <si>
    <t>No consolidated compliance/audit-pack export</t>
  </si>
  <si>
    <t>Individual reports exist, but a DGCA inspection would likely want one combined export (aircraft records, training records, incident log, BA register) rather than hunting through five separate pages.</t>
  </si>
  <si>
    <t>A single "Compliance Export" page that bundles the existing report generators (already-built PDF functions) into one ZIP or multi-tab Excel, filtered by date range.</t>
  </si>
  <si>
    <t>Small-Medium (mostly wiring existing exports together)</t>
  </si>
  <si>
    <t>No Business Insights / analytics dashboard</t>
  </si>
  <si>
    <t>Leadership has no single view of fleet utilization, instructor productivity, or (once billing exists) revenue — decisions rely on manually reading individual pages today.</t>
  </si>
  <si>
    <t>A simple Admin-only Insights page with a handful of computed KPIs (hours flown per aircraft/instructor per month, completion-rate trends) using data that already exists in Flight Records/Scheduled Flights.</t>
  </si>
  <si>
    <t>Medium (aggregation queries + a charts page)</t>
  </si>
  <si>
    <t>No structured competency-based assessment (CBTA)</t>
  </si>
  <si>
    <t>Grading today is exercise complete/incomplete plus free-text debrief notes — there's no standardized skill-by-skill competency rubric like FlightLogger's CBTA Pro.</t>
  </si>
  <si>
    <t>Only worth building if DGCA or the FTO's own SOP calls for competency-based grading; otherwise the current pass/fail + notes model is proportionate for this app's scale.</t>
  </si>
  <si>
    <t>Large (new grading data model, new UI) — confirm real need before starting</t>
  </si>
  <si>
    <t>P3</t>
  </si>
  <si>
    <t>No online self-service booking confirmed for students</t>
  </si>
  <si>
    <t>Unclear from the current build whether students can create their own bookings or whether staff always book on their behalf — worth confirming, since self-service booking is one of FlightLogger's headline features.</t>
  </si>
  <si>
    <t>Clarify the intended workflow with the user; if student self-booking is wanted, extend BookingForm access to the student role with appropriate constraints (e.g. only for dual/solo slots already approved).</t>
  </si>
  <si>
    <t>Small (mostly a permissions/UX decision, not new plumbing)</t>
  </si>
  <si>
    <t>No calendar sync, SSO, public API, or native mobile app</t>
  </si>
  <si>
    <t>These are standard in mature competitors but are integration/scale features rather than day-to-day operational gaps for a single-base FTO of this size.</t>
  </si>
  <si>
    <t>Deprioritize until the FTO's own growth (multi-base, larger staff needing SSO, or a partner needing API access) creates real demand — building these speculatively would be over-engineering for the current scale.</t>
  </si>
  <si>
    <t>Large each — defer until there's a concrete need</t>
  </si>
  <si>
    <t>No internal messaging or shared document library</t>
  </si>
  <si>
    <t>Team communication and SOP/manual storage currently happen outside the app (email, shared drive, etc.).</t>
  </si>
  <si>
    <t>Low priority relative to the P1/P2 items above; if pursued, a simple "Documents" tab under Admin Setup (file upload + list) would cover most of the need without building a full CMS.</t>
  </si>
  <si>
    <t>Small (if scoped to file upload/list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</si>
</sst>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b/>
      <sz val="11"/>
      <color rgb="FF006100"/>
      <name val="Arial"/>
      <charset val="1"/>
    </font>
    <font>
      <b/>
      <sz val="11"/>
      <color rgb="FF9C6500"/>
      <name val="Arial"/>
      <charset val="1"/>
    </font>
    <font>
      <b/>
      <sz val="11"/>
      <color rgb="FF9C0006"/>
      <name val="Arial"/>
      <charset val="1"/>
    </font>
    <font>
      <b/>
      <sz val="11"/>
      <name val="Arial"/>
      <charset val="1"/>
    </font>
    <font>
      <b/>
      <sz val="12"/>
      <name val="Arial"/>
      <charset val="1"/>
    </font>
    <font>
      <sz val="10"/>
      <name val="Arial"/>
      <charset val="1"/>
    </font>
    <font>
      <b/>
      <sz val="11"/>
      <color rgb="FF1F4E78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4E78"/>
      </patternFill>
    </fill>
    <fill>
      <patternFill patternType="solid">
        <fgColor rgb="FFC6EFCE"/>
        <bgColor rgb="FFDDEBF7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D9D9D9"/>
      </patternFill>
    </fill>
    <fill>
      <patternFill patternType="solid">
        <fgColor rgb="FFDDEBF7"/>
        <bgColor rgb="FFD9D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5" fillId="4" borderId="1" xfId="0" applyFont="1" applyFill="1" applyBorder="1"/>
    <xf numFmtId="0" fontId="6" fillId="5" borderId="1" xfId="0" applyFont="1" applyFill="1" applyBorder="1"/>
    <xf numFmtId="0" fontId="7" fillId="0" borderId="1" xfId="0" applyFont="1" applyBorder="1"/>
    <xf numFmtId="0" fontId="8" fillId="0" borderId="0" xfId="0" applyFont="1"/>
    <xf numFmtId="0" fontId="9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zoomScaleNormal="100" workbookViewId="0"/>
  </sheetViews>
  <sheetFormatPr defaultColWidth="8.6640625" defaultRowHeight="14.4" x14ac:dyDescent="0.3"/>
  <cols>
    <col min="1" max="1" width="30" customWidth="1"/>
    <col min="2" max="2" width="12" customWidth="1"/>
    <col min="3" max="3" width="20" customWidth="1"/>
    <col min="4" max="6" width="14" customWidth="1"/>
  </cols>
  <sheetData>
    <row r="1" spans="1:6" ht="21" x14ac:dyDescent="0.4">
      <c r="A1" s="14" t="s">
        <v>0</v>
      </c>
      <c r="B1" s="14"/>
      <c r="C1" s="14"/>
    </row>
    <row r="2" spans="1:6" x14ac:dyDescent="0.3">
      <c r="A2" s="15" t="s">
        <v>1</v>
      </c>
      <c r="B2" s="15"/>
      <c r="C2" s="15"/>
    </row>
    <row r="4" spans="1:6" ht="27.75" customHeight="1" x14ac:dyDescent="0.3">
      <c r="A4" s="1" t="s">
        <v>2</v>
      </c>
      <c r="B4" s="1" t="s">
        <v>3</v>
      </c>
      <c r="C4" s="1" t="s">
        <v>4</v>
      </c>
    </row>
    <row r="5" spans="1:6" x14ac:dyDescent="0.3">
      <c r="A5" s="2" t="s">
        <v>5</v>
      </c>
      <c r="B5" s="3">
        <f>COUNTIF(Comparison!$D$5:$D$50,A5)</f>
        <v>18</v>
      </c>
      <c r="C5" s="4">
        <f>B5/SUM($B$5:$B$7)</f>
        <v>0.39130434782608697</v>
      </c>
    </row>
    <row r="6" spans="1:6" x14ac:dyDescent="0.3">
      <c r="A6" s="5" t="s">
        <v>6</v>
      </c>
      <c r="B6" s="3">
        <f>COUNTIF(Comparison!$D$5:$D$50,A6)</f>
        <v>4</v>
      </c>
      <c r="C6" s="4">
        <f>B6/SUM($B$5:$B$7)</f>
        <v>8.6956521739130432E-2</v>
      </c>
    </row>
    <row r="7" spans="1:6" x14ac:dyDescent="0.3">
      <c r="A7" s="6" t="s">
        <v>7</v>
      </c>
      <c r="B7" s="3">
        <f>COUNTIF(Comparison!$D$5:$D$50,A7)</f>
        <v>24</v>
      </c>
      <c r="C7" s="4">
        <f>B7/SUM($B$5:$B$7)</f>
        <v>0.52173913043478259</v>
      </c>
    </row>
    <row r="8" spans="1:6" x14ac:dyDescent="0.3">
      <c r="A8" s="7" t="s">
        <v>8</v>
      </c>
      <c r="B8" s="3">
        <f>SUM(B5:B7)</f>
        <v>46</v>
      </c>
    </row>
    <row r="10" spans="1:6" x14ac:dyDescent="0.3">
      <c r="A10" s="7" t="s">
        <v>9</v>
      </c>
      <c r="B10" s="3">
        <f>COUNTIF('Gaps &amp; Priorities'!$A$5:$A$100,"P1")</f>
        <v>4</v>
      </c>
    </row>
    <row r="11" spans="1:6" x14ac:dyDescent="0.3">
      <c r="A11" s="7" t="s">
        <v>10</v>
      </c>
      <c r="B11" s="3">
        <f>COUNTIF('Gaps &amp; Priorities'!$A$5:$A$100,"P2")</f>
        <v>5</v>
      </c>
    </row>
    <row r="12" spans="1:6" x14ac:dyDescent="0.3">
      <c r="A12" s="7" t="s">
        <v>11</v>
      </c>
      <c r="B12" s="3">
        <f>COUNTIF('Gaps &amp; Priorities'!$A$5:$A$100,"P3")</f>
        <v>3</v>
      </c>
    </row>
    <row r="14" spans="1:6" ht="15.6" x14ac:dyDescent="0.3">
      <c r="A14" s="8" t="s">
        <v>12</v>
      </c>
    </row>
    <row r="15" spans="1:6" x14ac:dyDescent="0.3">
      <c r="A15" s="16" t="s">
        <v>13</v>
      </c>
      <c r="B15" s="16"/>
      <c r="C15" s="16"/>
      <c r="D15" s="16"/>
      <c r="E15" s="16"/>
      <c r="F15" s="16"/>
    </row>
    <row r="16" spans="1:6" x14ac:dyDescent="0.3">
      <c r="A16" s="16" t="s">
        <v>14</v>
      </c>
      <c r="B16" s="16"/>
      <c r="C16" s="16"/>
      <c r="D16" s="16"/>
      <c r="E16" s="16"/>
      <c r="F16" s="16"/>
    </row>
    <row r="17" spans="1:6" x14ac:dyDescent="0.3">
      <c r="A17" s="16" t="s">
        <v>15</v>
      </c>
      <c r="B17" s="16"/>
      <c r="C17" s="16"/>
      <c r="D17" s="16"/>
      <c r="E17" s="16"/>
      <c r="F17" s="16"/>
    </row>
    <row r="18" spans="1:6" x14ac:dyDescent="0.3">
      <c r="A18" s="16" t="s">
        <v>16</v>
      </c>
      <c r="B18" s="16"/>
      <c r="C18" s="16"/>
      <c r="D18" s="16"/>
      <c r="E18" s="16"/>
      <c r="F18" s="16"/>
    </row>
    <row r="19" spans="1:6" x14ac:dyDescent="0.3">
      <c r="A19" s="16" t="s">
        <v>17</v>
      </c>
      <c r="B19" s="16"/>
      <c r="C19" s="16"/>
      <c r="D19" s="16"/>
      <c r="E19" s="16"/>
      <c r="F19" s="16"/>
    </row>
  </sheetData>
  <mergeCells count="7">
    <mergeCell ref="A18:F18"/>
    <mergeCell ref="A19:F19"/>
    <mergeCell ref="A1:C1"/>
    <mergeCell ref="A2:C2"/>
    <mergeCell ref="A15:F15"/>
    <mergeCell ref="A16:F16"/>
    <mergeCell ref="A17:F17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3"/>
  <sheetViews>
    <sheetView zoomScaleNormal="100" workbookViewId="0">
      <pane ySplit="4" topLeftCell="A38" activePane="bottomLeft" state="frozen"/>
      <selection pane="bottomLeft" sqref="A1:D1"/>
    </sheetView>
  </sheetViews>
  <sheetFormatPr defaultColWidth="8.6640625" defaultRowHeight="14.4" x14ac:dyDescent="0.3"/>
  <cols>
    <col min="1" max="1" width="26" customWidth="1"/>
    <col min="2" max="2" width="34" customWidth="1"/>
    <col min="3" max="3" width="62" customWidth="1"/>
    <col min="4" max="4" width="26" customWidth="1"/>
  </cols>
  <sheetData>
    <row r="1" spans="1:4" ht="21" x14ac:dyDescent="0.4">
      <c r="A1" s="14" t="s">
        <v>18</v>
      </c>
      <c r="B1" s="14"/>
      <c r="C1" s="14"/>
      <c r="D1" s="14"/>
    </row>
    <row r="2" spans="1:4" x14ac:dyDescent="0.3">
      <c r="A2" s="15" t="s">
        <v>19</v>
      </c>
      <c r="B2" s="15"/>
      <c r="C2" s="15"/>
      <c r="D2" s="15"/>
    </row>
    <row r="4" spans="1:4" ht="27.75" customHeight="1" x14ac:dyDescent="0.3">
      <c r="A4" s="1" t="s">
        <v>20</v>
      </c>
      <c r="B4" s="1" t="s">
        <v>21</v>
      </c>
      <c r="C4" s="1" t="s">
        <v>22</v>
      </c>
      <c r="D4" s="1" t="s">
        <v>23</v>
      </c>
    </row>
    <row r="5" spans="1:4" ht="26.4" x14ac:dyDescent="0.3">
      <c r="A5" s="9" t="s">
        <v>24</v>
      </c>
      <c r="B5" s="9" t="s">
        <v>25</v>
      </c>
      <c r="C5" s="9" t="s">
        <v>26</v>
      </c>
      <c r="D5" s="9" t="s">
        <v>27</v>
      </c>
    </row>
    <row r="6" spans="1:4" ht="26.4" x14ac:dyDescent="0.3">
      <c r="A6" s="9" t="s">
        <v>24</v>
      </c>
      <c r="B6" s="9" t="s">
        <v>28</v>
      </c>
      <c r="C6" s="9" t="s">
        <v>29</v>
      </c>
      <c r="D6" s="9" t="s">
        <v>27</v>
      </c>
    </row>
    <row r="7" spans="1:4" x14ac:dyDescent="0.3">
      <c r="A7" s="9" t="s">
        <v>24</v>
      </c>
      <c r="B7" s="9" t="s">
        <v>30</v>
      </c>
      <c r="C7" s="9" t="s">
        <v>31</v>
      </c>
      <c r="D7" s="9" t="s">
        <v>32</v>
      </c>
    </row>
    <row r="8" spans="1:4" ht="26.4" x14ac:dyDescent="0.3">
      <c r="A8" s="9" t="s">
        <v>24</v>
      </c>
      <c r="B8" s="9" t="s">
        <v>33</v>
      </c>
      <c r="C8" s="9" t="s">
        <v>34</v>
      </c>
      <c r="D8" s="9" t="s">
        <v>35</v>
      </c>
    </row>
    <row r="9" spans="1:4" x14ac:dyDescent="0.3">
      <c r="A9" s="9" t="s">
        <v>24</v>
      </c>
      <c r="B9" s="9" t="s">
        <v>36</v>
      </c>
      <c r="C9" s="9" t="s">
        <v>37</v>
      </c>
      <c r="D9" s="9" t="s">
        <v>35</v>
      </c>
    </row>
    <row r="10" spans="1:4" x14ac:dyDescent="0.3">
      <c r="A10" s="9" t="s">
        <v>24</v>
      </c>
      <c r="B10" s="9" t="s">
        <v>38</v>
      </c>
      <c r="C10" s="9" t="s">
        <v>39</v>
      </c>
      <c r="D10" s="9" t="s">
        <v>32</v>
      </c>
    </row>
    <row r="11" spans="1:4" x14ac:dyDescent="0.3">
      <c r="A11" s="9" t="s">
        <v>24</v>
      </c>
      <c r="B11" s="9" t="s">
        <v>40</v>
      </c>
      <c r="C11" s="9" t="s">
        <v>41</v>
      </c>
      <c r="D11" s="9" t="s">
        <v>32</v>
      </c>
    </row>
    <row r="12" spans="1:4" ht="26.4" x14ac:dyDescent="0.3">
      <c r="A12" s="9" t="s">
        <v>42</v>
      </c>
      <c r="B12" s="9" t="s">
        <v>43</v>
      </c>
      <c r="C12" s="9" t="s">
        <v>44</v>
      </c>
      <c r="D12" s="9" t="s">
        <v>27</v>
      </c>
    </row>
    <row r="13" spans="1:4" ht="26.4" x14ac:dyDescent="0.3">
      <c r="A13" s="9" t="s">
        <v>42</v>
      </c>
      <c r="B13" s="9" t="s">
        <v>45</v>
      </c>
      <c r="C13" s="9" t="s">
        <v>46</v>
      </c>
      <c r="D13" s="9" t="s">
        <v>27</v>
      </c>
    </row>
    <row r="14" spans="1:4" ht="26.4" x14ac:dyDescent="0.3">
      <c r="A14" s="9" t="s">
        <v>42</v>
      </c>
      <c r="B14" s="9" t="s">
        <v>47</v>
      </c>
      <c r="C14" s="9" t="s">
        <v>48</v>
      </c>
      <c r="D14" s="9" t="s">
        <v>27</v>
      </c>
    </row>
    <row r="15" spans="1:4" ht="26.4" x14ac:dyDescent="0.3">
      <c r="A15" s="9" t="s">
        <v>42</v>
      </c>
      <c r="B15" s="9" t="s">
        <v>49</v>
      </c>
      <c r="C15" s="9" t="s">
        <v>50</v>
      </c>
      <c r="D15" s="9" t="s">
        <v>27</v>
      </c>
    </row>
    <row r="16" spans="1:4" ht="26.4" x14ac:dyDescent="0.3">
      <c r="A16" s="9" t="s">
        <v>42</v>
      </c>
      <c r="B16" s="9" t="s">
        <v>51</v>
      </c>
      <c r="C16" s="9" t="s">
        <v>52</v>
      </c>
      <c r="D16" s="9" t="s">
        <v>53</v>
      </c>
    </row>
    <row r="17" spans="1:4" ht="26.4" x14ac:dyDescent="0.3">
      <c r="A17" s="9" t="s">
        <v>42</v>
      </c>
      <c r="B17" s="9" t="s">
        <v>54</v>
      </c>
      <c r="C17" s="9" t="s">
        <v>55</v>
      </c>
      <c r="D17" s="9" t="s">
        <v>27</v>
      </c>
    </row>
    <row r="18" spans="1:4" ht="26.4" x14ac:dyDescent="0.3">
      <c r="A18" s="9" t="s">
        <v>42</v>
      </c>
      <c r="B18" s="9" t="s">
        <v>56</v>
      </c>
      <c r="C18" s="9" t="s">
        <v>57</v>
      </c>
      <c r="D18" s="9" t="s">
        <v>32</v>
      </c>
    </row>
    <row r="19" spans="1:4" ht="26.4" x14ac:dyDescent="0.3">
      <c r="A19" s="9" t="s">
        <v>42</v>
      </c>
      <c r="B19" s="9" t="s">
        <v>58</v>
      </c>
      <c r="C19" s="9" t="s">
        <v>59</v>
      </c>
      <c r="D19" s="9" t="s">
        <v>32</v>
      </c>
    </row>
    <row r="20" spans="1:4" ht="26.4" x14ac:dyDescent="0.3">
      <c r="A20" s="9" t="s">
        <v>60</v>
      </c>
      <c r="B20" s="9" t="s">
        <v>61</v>
      </c>
      <c r="C20" s="9" t="s">
        <v>62</v>
      </c>
      <c r="D20" s="9" t="s">
        <v>27</v>
      </c>
    </row>
    <row r="21" spans="1:4" ht="26.4" x14ac:dyDescent="0.3">
      <c r="A21" s="9" t="s">
        <v>60</v>
      </c>
      <c r="B21" s="9" t="s">
        <v>63</v>
      </c>
      <c r="C21" s="9" t="s">
        <v>64</v>
      </c>
      <c r="D21" s="9" t="s">
        <v>27</v>
      </c>
    </row>
    <row r="22" spans="1:4" ht="26.4" x14ac:dyDescent="0.3">
      <c r="A22" s="9" t="s">
        <v>60</v>
      </c>
      <c r="B22" s="9" t="s">
        <v>65</v>
      </c>
      <c r="C22" s="9" t="s">
        <v>66</v>
      </c>
      <c r="D22" s="9" t="s">
        <v>32</v>
      </c>
    </row>
    <row r="23" spans="1:4" ht="26.4" x14ac:dyDescent="0.3">
      <c r="A23" s="9" t="s">
        <v>60</v>
      </c>
      <c r="B23" s="9" t="s">
        <v>67</v>
      </c>
      <c r="C23" s="9" t="s">
        <v>68</v>
      </c>
      <c r="D23" s="9" t="s">
        <v>27</v>
      </c>
    </row>
    <row r="24" spans="1:4" x14ac:dyDescent="0.3">
      <c r="A24" s="9" t="s">
        <v>69</v>
      </c>
      <c r="B24" s="9" t="s">
        <v>70</v>
      </c>
      <c r="C24" s="9" t="s">
        <v>71</v>
      </c>
      <c r="D24" s="9" t="s">
        <v>27</v>
      </c>
    </row>
    <row r="25" spans="1:4" ht="26.4" x14ac:dyDescent="0.3">
      <c r="A25" s="9" t="s">
        <v>69</v>
      </c>
      <c r="B25" s="9" t="s">
        <v>72</v>
      </c>
      <c r="C25" s="9" t="s">
        <v>73</v>
      </c>
      <c r="D25" s="9" t="s">
        <v>27</v>
      </c>
    </row>
    <row r="26" spans="1:4" ht="26.4" x14ac:dyDescent="0.3">
      <c r="A26" s="9" t="s">
        <v>69</v>
      </c>
      <c r="B26" s="9" t="s">
        <v>74</v>
      </c>
      <c r="C26" s="9" t="s">
        <v>75</v>
      </c>
      <c r="D26" s="9" t="s">
        <v>32</v>
      </c>
    </row>
    <row r="27" spans="1:4" ht="26.4" x14ac:dyDescent="0.3">
      <c r="A27" s="9" t="s">
        <v>76</v>
      </c>
      <c r="B27" s="9" t="s">
        <v>77</v>
      </c>
      <c r="C27" s="9" t="s">
        <v>78</v>
      </c>
      <c r="D27" s="9" t="s">
        <v>27</v>
      </c>
    </row>
    <row r="28" spans="1:4" x14ac:dyDescent="0.3">
      <c r="A28" s="9" t="s">
        <v>76</v>
      </c>
      <c r="B28" s="9" t="s">
        <v>79</v>
      </c>
      <c r="C28" s="9" t="s">
        <v>80</v>
      </c>
      <c r="D28" s="9" t="s">
        <v>27</v>
      </c>
    </row>
    <row r="29" spans="1:4" x14ac:dyDescent="0.3">
      <c r="A29" s="9" t="s">
        <v>81</v>
      </c>
      <c r="B29" s="9" t="s">
        <v>82</v>
      </c>
      <c r="C29" s="9" t="s">
        <v>83</v>
      </c>
      <c r="D29" s="9" t="s">
        <v>27</v>
      </c>
    </row>
    <row r="30" spans="1:4" x14ac:dyDescent="0.3">
      <c r="A30" s="9" t="s">
        <v>81</v>
      </c>
      <c r="B30" s="9" t="s">
        <v>84</v>
      </c>
      <c r="C30" s="9" t="s">
        <v>85</v>
      </c>
      <c r="D30" s="9" t="s">
        <v>27</v>
      </c>
    </row>
    <row r="31" spans="1:4" x14ac:dyDescent="0.3">
      <c r="A31" s="9" t="s">
        <v>81</v>
      </c>
      <c r="B31" s="9" t="s">
        <v>86</v>
      </c>
      <c r="C31" s="9" t="s">
        <v>87</v>
      </c>
      <c r="D31" s="9" t="s">
        <v>32</v>
      </c>
    </row>
    <row r="32" spans="1:4" ht="26.4" x14ac:dyDescent="0.3">
      <c r="A32" s="9" t="s">
        <v>88</v>
      </c>
      <c r="B32" s="9" t="s">
        <v>89</v>
      </c>
      <c r="C32" s="9" t="s">
        <v>90</v>
      </c>
      <c r="D32" s="9" t="s">
        <v>27</v>
      </c>
    </row>
    <row r="33" spans="1:4" x14ac:dyDescent="0.3">
      <c r="A33" s="9" t="s">
        <v>88</v>
      </c>
      <c r="B33" s="9" t="s">
        <v>91</v>
      </c>
      <c r="C33" s="9" t="s">
        <v>92</v>
      </c>
      <c r="D33" s="9" t="s">
        <v>32</v>
      </c>
    </row>
    <row r="34" spans="1:4" x14ac:dyDescent="0.3">
      <c r="A34" s="9" t="s">
        <v>88</v>
      </c>
      <c r="B34" s="9" t="s">
        <v>93</v>
      </c>
      <c r="C34" s="9" t="s">
        <v>94</v>
      </c>
      <c r="D34" s="9" t="s">
        <v>27</v>
      </c>
    </row>
    <row r="35" spans="1:4" x14ac:dyDescent="0.3">
      <c r="A35" s="9" t="s">
        <v>88</v>
      </c>
      <c r="B35" s="9" t="s">
        <v>95</v>
      </c>
      <c r="C35" s="9" t="s">
        <v>96</v>
      </c>
      <c r="D35" s="9" t="s">
        <v>27</v>
      </c>
    </row>
    <row r="36" spans="1:4" ht="26.4" x14ac:dyDescent="0.3">
      <c r="A36" s="9" t="s">
        <v>97</v>
      </c>
      <c r="B36" s="9" t="s">
        <v>98</v>
      </c>
      <c r="C36" s="9" t="s">
        <v>99</v>
      </c>
      <c r="D36" s="9" t="s">
        <v>27</v>
      </c>
    </row>
    <row r="37" spans="1:4" ht="26.4" x14ac:dyDescent="0.3">
      <c r="A37" s="9" t="s">
        <v>97</v>
      </c>
      <c r="B37" s="9" t="s">
        <v>100</v>
      </c>
      <c r="C37" s="9" t="s">
        <v>101</v>
      </c>
      <c r="D37" s="9" t="s">
        <v>35</v>
      </c>
    </row>
    <row r="38" spans="1:4" ht="26.4" x14ac:dyDescent="0.3">
      <c r="A38" s="9" t="s">
        <v>102</v>
      </c>
      <c r="B38" s="9" t="s">
        <v>103</v>
      </c>
      <c r="C38" s="9" t="s">
        <v>104</v>
      </c>
      <c r="D38" s="9" t="s">
        <v>105</v>
      </c>
    </row>
    <row r="39" spans="1:4" x14ac:dyDescent="0.3">
      <c r="A39" s="9" t="s">
        <v>102</v>
      </c>
      <c r="B39" s="9" t="s">
        <v>106</v>
      </c>
      <c r="C39" s="9" t="s">
        <v>107</v>
      </c>
      <c r="D39" s="9" t="s">
        <v>27</v>
      </c>
    </row>
    <row r="40" spans="1:4" x14ac:dyDescent="0.3">
      <c r="A40" s="9" t="s">
        <v>102</v>
      </c>
      <c r="B40" s="9" t="s">
        <v>108</v>
      </c>
      <c r="C40" s="9" t="s">
        <v>109</v>
      </c>
      <c r="D40" s="9" t="s">
        <v>32</v>
      </c>
    </row>
    <row r="41" spans="1:4" x14ac:dyDescent="0.3">
      <c r="A41" s="9" t="s">
        <v>102</v>
      </c>
      <c r="B41" s="9" t="s">
        <v>110</v>
      </c>
      <c r="C41" s="9" t="s">
        <v>111</v>
      </c>
      <c r="D41" s="9" t="s">
        <v>27</v>
      </c>
    </row>
    <row r="42" spans="1:4" x14ac:dyDescent="0.3">
      <c r="A42" s="9" t="s">
        <v>102</v>
      </c>
      <c r="B42" s="9" t="s">
        <v>112</v>
      </c>
      <c r="C42" s="9" t="s">
        <v>113</v>
      </c>
      <c r="D42" s="9" t="s">
        <v>35</v>
      </c>
    </row>
    <row r="43" spans="1:4" x14ac:dyDescent="0.3">
      <c r="A43" s="9" t="s">
        <v>102</v>
      </c>
      <c r="B43" s="9" t="s">
        <v>114</v>
      </c>
      <c r="C43" s="9" t="s">
        <v>115</v>
      </c>
      <c r="D43" s="9" t="s">
        <v>35</v>
      </c>
    </row>
  </sheetData>
  <autoFilter ref="A4:D43" xr:uid="{00000000-0009-0000-0000-000001000000}"/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0"/>
  <sheetViews>
    <sheetView tabSelected="1" zoomScaleNormal="100" workbookViewId="0">
      <pane ySplit="4" topLeftCell="A5" activePane="bottomLeft" state="frozen"/>
      <selection pane="bottomLeft" activeCell="C6" sqref="B6:C6"/>
    </sheetView>
  </sheetViews>
  <sheetFormatPr defaultColWidth="8.6640625" defaultRowHeight="14.4" x14ac:dyDescent="0.3"/>
  <cols>
    <col min="1" max="1" width="24" customWidth="1"/>
    <col min="2" max="2" width="34" customWidth="1"/>
    <col min="3" max="4" width="16" customWidth="1"/>
    <col min="5" max="5" width="44" customWidth="1"/>
    <col min="6" max="6" width="46" customWidth="1"/>
  </cols>
  <sheetData>
    <row r="1" spans="1:6" ht="21" x14ac:dyDescent="0.4">
      <c r="A1" s="14" t="s">
        <v>116</v>
      </c>
      <c r="B1" s="14"/>
      <c r="C1" s="14"/>
      <c r="D1" s="14"/>
      <c r="E1" s="14"/>
      <c r="F1" s="14"/>
    </row>
    <row r="2" spans="1:6" x14ac:dyDescent="0.3">
      <c r="A2" s="15" t="s">
        <v>117</v>
      </c>
      <c r="B2" s="15"/>
      <c r="C2" s="15"/>
      <c r="D2" s="15"/>
      <c r="E2" s="15"/>
      <c r="F2" s="15"/>
    </row>
    <row r="4" spans="1:6" ht="27.75" customHeight="1" x14ac:dyDescent="0.3">
      <c r="A4" s="1" t="s">
        <v>20</v>
      </c>
      <c r="B4" s="1" t="s">
        <v>21</v>
      </c>
      <c r="C4" s="1" t="s">
        <v>118</v>
      </c>
      <c r="D4" s="1" t="s">
        <v>119</v>
      </c>
      <c r="E4" s="1" t="s">
        <v>120</v>
      </c>
      <c r="F4" s="1" t="s">
        <v>121</v>
      </c>
    </row>
    <row r="5" spans="1:6" ht="39.6" x14ac:dyDescent="0.3">
      <c r="A5" s="9" t="s">
        <v>24</v>
      </c>
      <c r="B5" s="9" t="s">
        <v>122</v>
      </c>
      <c r="C5" s="9" t="s">
        <v>123</v>
      </c>
      <c r="D5" s="10" t="s">
        <v>5</v>
      </c>
      <c r="E5" s="9" t="s">
        <v>124</v>
      </c>
      <c r="F5" s="9" t="s">
        <v>125</v>
      </c>
    </row>
    <row r="6" spans="1:6" ht="26.4" x14ac:dyDescent="0.3">
      <c r="A6" s="9" t="s">
        <v>24</v>
      </c>
      <c r="B6" s="9" t="s">
        <v>126</v>
      </c>
      <c r="C6" s="9" t="s">
        <v>123</v>
      </c>
      <c r="D6" s="11" t="s">
        <v>7</v>
      </c>
      <c r="E6" s="9" t="s">
        <v>127</v>
      </c>
      <c r="F6" s="9" t="s">
        <v>128</v>
      </c>
    </row>
    <row r="7" spans="1:6" ht="52.8" x14ac:dyDescent="0.3">
      <c r="A7" s="9" t="s">
        <v>24</v>
      </c>
      <c r="B7" s="9" t="s">
        <v>129</v>
      </c>
      <c r="C7" s="9" t="s">
        <v>123</v>
      </c>
      <c r="D7" s="12" t="s">
        <v>6</v>
      </c>
      <c r="E7" s="9" t="s">
        <v>130</v>
      </c>
      <c r="F7" s="9" t="s">
        <v>131</v>
      </c>
    </row>
    <row r="8" spans="1:6" x14ac:dyDescent="0.3">
      <c r="A8" s="9" t="s">
        <v>24</v>
      </c>
      <c r="B8" s="9" t="s">
        <v>132</v>
      </c>
      <c r="C8" s="9" t="s">
        <v>123</v>
      </c>
      <c r="D8" s="11" t="s">
        <v>7</v>
      </c>
      <c r="E8" s="9" t="s">
        <v>133</v>
      </c>
      <c r="F8" s="9" t="s">
        <v>134</v>
      </c>
    </row>
    <row r="9" spans="1:6" ht="26.4" x14ac:dyDescent="0.3">
      <c r="A9" s="9" t="s">
        <v>24</v>
      </c>
      <c r="B9" s="9" t="s">
        <v>135</v>
      </c>
      <c r="C9" s="9" t="s">
        <v>123</v>
      </c>
      <c r="D9" s="11" t="s">
        <v>7</v>
      </c>
      <c r="E9" s="9" t="s">
        <v>133</v>
      </c>
      <c r="F9" s="9" t="s">
        <v>136</v>
      </c>
    </row>
    <row r="10" spans="1:6" ht="26.4" x14ac:dyDescent="0.3">
      <c r="A10" s="9" t="s">
        <v>24</v>
      </c>
      <c r="B10" s="9" t="s">
        <v>137</v>
      </c>
      <c r="C10" s="9" t="s">
        <v>123</v>
      </c>
      <c r="D10" s="11" t="s">
        <v>7</v>
      </c>
      <c r="E10" s="9" t="s">
        <v>138</v>
      </c>
      <c r="F10" s="9" t="s">
        <v>139</v>
      </c>
    </row>
    <row r="11" spans="1:6" ht="26.4" x14ac:dyDescent="0.3">
      <c r="A11" s="9" t="s">
        <v>24</v>
      </c>
      <c r="B11" s="9" t="s">
        <v>140</v>
      </c>
      <c r="C11" s="9" t="s">
        <v>123</v>
      </c>
      <c r="D11" s="10" t="s">
        <v>5</v>
      </c>
      <c r="E11" s="9" t="s">
        <v>141</v>
      </c>
      <c r="F11" s="9" t="s">
        <v>142</v>
      </c>
    </row>
    <row r="12" spans="1:6" ht="26.4" x14ac:dyDescent="0.3">
      <c r="A12" s="9" t="s">
        <v>24</v>
      </c>
      <c r="B12" s="9" t="s">
        <v>143</v>
      </c>
      <c r="C12" s="9" t="s">
        <v>144</v>
      </c>
      <c r="D12" s="10" t="s">
        <v>5</v>
      </c>
      <c r="E12" s="9" t="s">
        <v>145</v>
      </c>
      <c r="F12" s="9" t="s">
        <v>146</v>
      </c>
    </row>
    <row r="13" spans="1:6" ht="26.4" x14ac:dyDescent="0.3">
      <c r="A13" s="9" t="s">
        <v>42</v>
      </c>
      <c r="B13" s="9" t="s">
        <v>147</v>
      </c>
      <c r="C13" s="9" t="s">
        <v>123</v>
      </c>
      <c r="D13" s="10" t="s">
        <v>5</v>
      </c>
      <c r="E13" s="9" t="s">
        <v>148</v>
      </c>
      <c r="F13" s="9" t="s">
        <v>142</v>
      </c>
    </row>
    <row r="14" spans="1:6" ht="39.6" x14ac:dyDescent="0.3">
      <c r="A14" s="9" t="s">
        <v>42</v>
      </c>
      <c r="B14" s="9" t="s">
        <v>149</v>
      </c>
      <c r="C14" s="9" t="s">
        <v>123</v>
      </c>
      <c r="D14" s="10" t="s">
        <v>5</v>
      </c>
      <c r="E14" s="9" t="s">
        <v>150</v>
      </c>
      <c r="F14" s="9" t="s">
        <v>151</v>
      </c>
    </row>
    <row r="15" spans="1:6" ht="26.4" x14ac:dyDescent="0.3">
      <c r="A15" s="9" t="s">
        <v>42</v>
      </c>
      <c r="B15" s="9" t="s">
        <v>152</v>
      </c>
      <c r="C15" s="9" t="s">
        <v>153</v>
      </c>
      <c r="D15" s="10" t="s">
        <v>5</v>
      </c>
      <c r="E15" s="9" t="s">
        <v>154</v>
      </c>
      <c r="F15" s="9" t="s">
        <v>142</v>
      </c>
    </row>
    <row r="16" spans="1:6" ht="26.4" x14ac:dyDescent="0.3">
      <c r="A16" s="9" t="s">
        <v>42</v>
      </c>
      <c r="B16" s="9" t="s">
        <v>155</v>
      </c>
      <c r="C16" s="9" t="s">
        <v>123</v>
      </c>
      <c r="D16" s="10" t="s">
        <v>5</v>
      </c>
      <c r="E16" s="9" t="s">
        <v>156</v>
      </c>
      <c r="F16" s="9" t="s">
        <v>157</v>
      </c>
    </row>
    <row r="17" spans="1:6" ht="52.8" x14ac:dyDescent="0.3">
      <c r="A17" s="9" t="s">
        <v>42</v>
      </c>
      <c r="B17" s="9" t="s">
        <v>158</v>
      </c>
      <c r="C17" s="9" t="s">
        <v>159</v>
      </c>
      <c r="D17" s="11" t="s">
        <v>7</v>
      </c>
      <c r="E17" s="9" t="s">
        <v>160</v>
      </c>
      <c r="F17" s="9" t="s">
        <v>161</v>
      </c>
    </row>
    <row r="18" spans="1:6" ht="39.6" x14ac:dyDescent="0.3">
      <c r="A18" s="9" t="s">
        <v>42</v>
      </c>
      <c r="B18" s="9" t="s">
        <v>162</v>
      </c>
      <c r="C18" s="9" t="s">
        <v>123</v>
      </c>
      <c r="D18" s="11" t="s">
        <v>7</v>
      </c>
      <c r="E18" s="9" t="s">
        <v>163</v>
      </c>
      <c r="F18" s="9" t="s">
        <v>164</v>
      </c>
    </row>
    <row r="19" spans="1:6" ht="26.4" x14ac:dyDescent="0.3">
      <c r="A19" s="9" t="s">
        <v>42</v>
      </c>
      <c r="B19" s="9" t="s">
        <v>54</v>
      </c>
      <c r="C19" s="9" t="s">
        <v>123</v>
      </c>
      <c r="D19" s="11" t="s">
        <v>7</v>
      </c>
      <c r="E19" s="9" t="s">
        <v>133</v>
      </c>
      <c r="F19" s="9" t="s">
        <v>165</v>
      </c>
    </row>
    <row r="20" spans="1:6" ht="26.4" x14ac:dyDescent="0.3">
      <c r="A20" s="9" t="s">
        <v>42</v>
      </c>
      <c r="B20" s="9" t="s">
        <v>166</v>
      </c>
      <c r="C20" s="9" t="s">
        <v>123</v>
      </c>
      <c r="D20" s="10" t="s">
        <v>5</v>
      </c>
      <c r="E20" s="9" t="s">
        <v>167</v>
      </c>
      <c r="F20" s="9" t="s">
        <v>142</v>
      </c>
    </row>
    <row r="21" spans="1:6" ht="52.8" x14ac:dyDescent="0.3">
      <c r="A21" s="9" t="s">
        <v>42</v>
      </c>
      <c r="B21" s="9" t="s">
        <v>168</v>
      </c>
      <c r="C21" s="9" t="s">
        <v>123</v>
      </c>
      <c r="D21" s="10" t="s">
        <v>5</v>
      </c>
      <c r="E21" s="9" t="s">
        <v>169</v>
      </c>
      <c r="F21" s="9" t="s">
        <v>170</v>
      </c>
    </row>
    <row r="22" spans="1:6" ht="26.4" x14ac:dyDescent="0.3">
      <c r="A22" s="9" t="s">
        <v>60</v>
      </c>
      <c r="B22" s="9" t="s">
        <v>171</v>
      </c>
      <c r="C22" s="9" t="s">
        <v>123</v>
      </c>
      <c r="D22" s="10" t="s">
        <v>5</v>
      </c>
      <c r="E22" s="9" t="s">
        <v>172</v>
      </c>
      <c r="F22" s="9" t="s">
        <v>142</v>
      </c>
    </row>
    <row r="23" spans="1:6" ht="52.8" x14ac:dyDescent="0.3">
      <c r="A23" s="9" t="s">
        <v>60</v>
      </c>
      <c r="B23" s="9" t="s">
        <v>173</v>
      </c>
      <c r="C23" s="9" t="s">
        <v>123</v>
      </c>
      <c r="D23" s="10" t="s">
        <v>5</v>
      </c>
      <c r="E23" s="9" t="s">
        <v>174</v>
      </c>
      <c r="F23" s="9" t="s">
        <v>175</v>
      </c>
    </row>
    <row r="24" spans="1:6" ht="26.4" x14ac:dyDescent="0.3">
      <c r="A24" s="9" t="s">
        <v>60</v>
      </c>
      <c r="B24" s="9" t="s">
        <v>176</v>
      </c>
      <c r="C24" s="9" t="s">
        <v>123</v>
      </c>
      <c r="D24" s="11" t="s">
        <v>7</v>
      </c>
      <c r="E24" s="9" t="s">
        <v>133</v>
      </c>
      <c r="F24" s="9" t="s">
        <v>177</v>
      </c>
    </row>
    <row r="25" spans="1:6" ht="39.6" x14ac:dyDescent="0.3">
      <c r="A25" s="9" t="s">
        <v>60</v>
      </c>
      <c r="B25" s="9" t="s">
        <v>178</v>
      </c>
      <c r="C25" s="9" t="s">
        <v>123</v>
      </c>
      <c r="D25" s="11" t="s">
        <v>7</v>
      </c>
      <c r="E25" s="9" t="s">
        <v>133</v>
      </c>
      <c r="F25" s="9" t="s">
        <v>179</v>
      </c>
    </row>
    <row r="26" spans="1:6" ht="26.4" x14ac:dyDescent="0.3">
      <c r="A26" s="9" t="s">
        <v>69</v>
      </c>
      <c r="B26" s="9" t="s">
        <v>180</v>
      </c>
      <c r="C26" s="9" t="s">
        <v>123</v>
      </c>
      <c r="D26" s="10" t="s">
        <v>5</v>
      </c>
      <c r="E26" s="9" t="s">
        <v>181</v>
      </c>
      <c r="F26" s="9" t="s">
        <v>142</v>
      </c>
    </row>
    <row r="27" spans="1:6" ht="52.8" x14ac:dyDescent="0.3">
      <c r="A27" s="9" t="s">
        <v>69</v>
      </c>
      <c r="B27" s="9" t="s">
        <v>182</v>
      </c>
      <c r="C27" s="9" t="s">
        <v>123</v>
      </c>
      <c r="D27" s="10" t="s">
        <v>5</v>
      </c>
      <c r="E27" s="9" t="s">
        <v>183</v>
      </c>
      <c r="F27" s="9" t="s">
        <v>184</v>
      </c>
    </row>
    <row r="28" spans="1:6" ht="39.6" x14ac:dyDescent="0.3">
      <c r="A28" s="9" t="s">
        <v>69</v>
      </c>
      <c r="B28" s="9" t="s">
        <v>185</v>
      </c>
      <c r="C28" s="9" t="s">
        <v>186</v>
      </c>
      <c r="D28" s="11" t="s">
        <v>7</v>
      </c>
      <c r="E28" s="9" t="s">
        <v>187</v>
      </c>
      <c r="F28" s="9" t="s">
        <v>188</v>
      </c>
    </row>
    <row r="29" spans="1:6" ht="39.6" x14ac:dyDescent="0.3">
      <c r="A29" s="9" t="s">
        <v>69</v>
      </c>
      <c r="B29" s="9" t="s">
        <v>189</v>
      </c>
      <c r="C29" s="9" t="s">
        <v>123</v>
      </c>
      <c r="D29" s="11" t="s">
        <v>7</v>
      </c>
      <c r="E29" s="9" t="s">
        <v>190</v>
      </c>
      <c r="F29" s="9" t="s">
        <v>191</v>
      </c>
    </row>
    <row r="30" spans="1:6" ht="39.6" x14ac:dyDescent="0.3">
      <c r="A30" s="9" t="s">
        <v>76</v>
      </c>
      <c r="B30" s="9" t="s">
        <v>192</v>
      </c>
      <c r="C30" s="9" t="s">
        <v>193</v>
      </c>
      <c r="D30" s="11" t="s">
        <v>7</v>
      </c>
      <c r="E30" s="9" t="s">
        <v>194</v>
      </c>
      <c r="F30" s="9" t="s">
        <v>195</v>
      </c>
    </row>
    <row r="31" spans="1:6" ht="39.6" x14ac:dyDescent="0.3">
      <c r="A31" s="9" t="s">
        <v>76</v>
      </c>
      <c r="B31" s="9" t="s">
        <v>196</v>
      </c>
      <c r="C31" s="9" t="s">
        <v>197</v>
      </c>
      <c r="D31" s="10" t="s">
        <v>5</v>
      </c>
      <c r="E31" s="9" t="s">
        <v>198</v>
      </c>
      <c r="F31" s="9" t="s">
        <v>199</v>
      </c>
    </row>
    <row r="32" spans="1:6" ht="52.8" x14ac:dyDescent="0.3">
      <c r="A32" s="9" t="s">
        <v>76</v>
      </c>
      <c r="B32" s="9" t="s">
        <v>200</v>
      </c>
      <c r="C32" s="9" t="s">
        <v>201</v>
      </c>
      <c r="D32" s="12" t="s">
        <v>6</v>
      </c>
      <c r="E32" s="9" t="s">
        <v>202</v>
      </c>
      <c r="F32" s="9" t="s">
        <v>203</v>
      </c>
    </row>
    <row r="33" spans="1:6" ht="52.8" x14ac:dyDescent="0.3">
      <c r="A33" s="9" t="s">
        <v>81</v>
      </c>
      <c r="B33" s="9" t="s">
        <v>204</v>
      </c>
      <c r="C33" s="9" t="s">
        <v>123</v>
      </c>
      <c r="D33" s="12" t="s">
        <v>6</v>
      </c>
      <c r="E33" s="9" t="s">
        <v>205</v>
      </c>
      <c r="F33" s="9" t="s">
        <v>206</v>
      </c>
    </row>
    <row r="34" spans="1:6" ht="39.6" x14ac:dyDescent="0.3">
      <c r="A34" s="9" t="s">
        <v>81</v>
      </c>
      <c r="B34" s="9" t="s">
        <v>207</v>
      </c>
      <c r="C34" s="9" t="s">
        <v>208</v>
      </c>
      <c r="D34" s="12" t="s">
        <v>6</v>
      </c>
      <c r="E34" s="9" t="s">
        <v>209</v>
      </c>
      <c r="F34" s="9" t="s">
        <v>210</v>
      </c>
    </row>
    <row r="35" spans="1:6" ht="26.4" x14ac:dyDescent="0.3">
      <c r="A35" s="9" t="s">
        <v>81</v>
      </c>
      <c r="B35" s="9" t="s">
        <v>211</v>
      </c>
      <c r="C35" s="9" t="s">
        <v>123</v>
      </c>
      <c r="D35" s="11" t="s">
        <v>7</v>
      </c>
      <c r="E35" s="9" t="s">
        <v>212</v>
      </c>
      <c r="F35" s="9" t="s">
        <v>213</v>
      </c>
    </row>
    <row r="36" spans="1:6" ht="39.6" x14ac:dyDescent="0.3">
      <c r="A36" s="9" t="s">
        <v>88</v>
      </c>
      <c r="B36" s="9" t="s">
        <v>214</v>
      </c>
      <c r="C36" s="9" t="s">
        <v>215</v>
      </c>
      <c r="D36" s="11" t="s">
        <v>7</v>
      </c>
      <c r="E36" s="9" t="s">
        <v>133</v>
      </c>
      <c r="F36" s="9" t="s">
        <v>216</v>
      </c>
    </row>
    <row r="37" spans="1:6" x14ac:dyDescent="0.3">
      <c r="A37" s="9" t="s">
        <v>88</v>
      </c>
      <c r="B37" s="9" t="s">
        <v>91</v>
      </c>
      <c r="C37" s="9" t="s">
        <v>123</v>
      </c>
      <c r="D37" s="11" t="s">
        <v>7</v>
      </c>
      <c r="E37" s="9" t="s">
        <v>133</v>
      </c>
      <c r="F37" s="9" t="s">
        <v>217</v>
      </c>
    </row>
    <row r="38" spans="1:6" x14ac:dyDescent="0.3">
      <c r="A38" s="9" t="s">
        <v>88</v>
      </c>
      <c r="B38" s="9" t="s">
        <v>218</v>
      </c>
      <c r="C38" s="9" t="s">
        <v>219</v>
      </c>
      <c r="D38" s="11" t="s">
        <v>7</v>
      </c>
      <c r="E38" s="9" t="s">
        <v>133</v>
      </c>
      <c r="F38" s="9" t="s">
        <v>220</v>
      </c>
    </row>
    <row r="39" spans="1:6" ht="26.4" x14ac:dyDescent="0.3">
      <c r="A39" s="9" t="s">
        <v>88</v>
      </c>
      <c r="B39" s="9" t="s">
        <v>221</v>
      </c>
      <c r="C39" s="9" t="s">
        <v>123</v>
      </c>
      <c r="D39" s="11" t="s">
        <v>7</v>
      </c>
      <c r="E39" s="9" t="s">
        <v>133</v>
      </c>
      <c r="F39" s="9" t="s">
        <v>222</v>
      </c>
    </row>
    <row r="40" spans="1:6" ht="39.6" x14ac:dyDescent="0.3">
      <c r="A40" s="9" t="s">
        <v>88</v>
      </c>
      <c r="B40" s="9" t="s">
        <v>223</v>
      </c>
      <c r="C40" s="9" t="s">
        <v>123</v>
      </c>
      <c r="D40" s="11" t="s">
        <v>7</v>
      </c>
      <c r="E40" s="9" t="s">
        <v>224</v>
      </c>
      <c r="F40" s="9" t="s">
        <v>225</v>
      </c>
    </row>
    <row r="41" spans="1:6" x14ac:dyDescent="0.3">
      <c r="A41" s="9" t="s">
        <v>97</v>
      </c>
      <c r="B41" s="9" t="s">
        <v>226</v>
      </c>
      <c r="C41" s="9" t="s">
        <v>123</v>
      </c>
      <c r="D41" s="11" t="s">
        <v>7</v>
      </c>
      <c r="E41" s="9" t="s">
        <v>133</v>
      </c>
      <c r="F41" s="9" t="s">
        <v>227</v>
      </c>
    </row>
    <row r="42" spans="1:6" ht="26.4" x14ac:dyDescent="0.3">
      <c r="A42" s="9" t="s">
        <v>97</v>
      </c>
      <c r="B42" s="9" t="s">
        <v>228</v>
      </c>
      <c r="C42" s="9" t="s">
        <v>123</v>
      </c>
      <c r="D42" s="11" t="s">
        <v>7</v>
      </c>
      <c r="E42" s="9" t="s">
        <v>133</v>
      </c>
      <c r="F42" s="9" t="s">
        <v>229</v>
      </c>
    </row>
    <row r="43" spans="1:6" ht="26.4" x14ac:dyDescent="0.3">
      <c r="A43" s="9" t="s">
        <v>97</v>
      </c>
      <c r="B43" s="9" t="s">
        <v>230</v>
      </c>
      <c r="C43" s="9" t="s">
        <v>123</v>
      </c>
      <c r="D43" s="10" t="s">
        <v>5</v>
      </c>
      <c r="E43" s="9" t="s">
        <v>231</v>
      </c>
      <c r="F43" s="9" t="s">
        <v>232</v>
      </c>
    </row>
    <row r="44" spans="1:6" x14ac:dyDescent="0.3">
      <c r="A44" s="9" t="s">
        <v>102</v>
      </c>
      <c r="B44" s="9" t="s">
        <v>233</v>
      </c>
      <c r="C44" s="9" t="s">
        <v>123</v>
      </c>
      <c r="D44" s="10" t="s">
        <v>5</v>
      </c>
      <c r="E44" s="9" t="s">
        <v>234</v>
      </c>
      <c r="F44" s="9" t="s">
        <v>142</v>
      </c>
    </row>
    <row r="45" spans="1:6" ht="26.4" x14ac:dyDescent="0.3">
      <c r="A45" s="9" t="s">
        <v>102</v>
      </c>
      <c r="B45" s="9" t="s">
        <v>235</v>
      </c>
      <c r="C45" s="9" t="s">
        <v>236</v>
      </c>
      <c r="D45" s="11" t="s">
        <v>7</v>
      </c>
      <c r="E45" s="9" t="s">
        <v>237</v>
      </c>
      <c r="F45" s="9" t="s">
        <v>238</v>
      </c>
    </row>
    <row r="46" spans="1:6" ht="26.4" x14ac:dyDescent="0.3">
      <c r="A46" s="9" t="s">
        <v>102</v>
      </c>
      <c r="B46" s="9" t="s">
        <v>239</v>
      </c>
      <c r="C46" s="9" t="s">
        <v>123</v>
      </c>
      <c r="D46" s="11" t="s">
        <v>7</v>
      </c>
      <c r="E46" s="9" t="s">
        <v>133</v>
      </c>
      <c r="F46" s="9" t="s">
        <v>240</v>
      </c>
    </row>
    <row r="47" spans="1:6" x14ac:dyDescent="0.3">
      <c r="A47" s="9" t="s">
        <v>102</v>
      </c>
      <c r="B47" s="9" t="s">
        <v>108</v>
      </c>
      <c r="C47" s="9" t="s">
        <v>123</v>
      </c>
      <c r="D47" s="11" t="s">
        <v>7</v>
      </c>
      <c r="E47" s="9" t="s">
        <v>241</v>
      </c>
      <c r="F47" s="9" t="s">
        <v>242</v>
      </c>
    </row>
    <row r="48" spans="1:6" ht="26.4" x14ac:dyDescent="0.3">
      <c r="A48" s="9" t="s">
        <v>102</v>
      </c>
      <c r="B48" s="9" t="s">
        <v>110</v>
      </c>
      <c r="C48" s="9" t="s">
        <v>123</v>
      </c>
      <c r="D48" s="11" t="s">
        <v>7</v>
      </c>
      <c r="E48" s="9" t="s">
        <v>243</v>
      </c>
      <c r="F48" s="9" t="s">
        <v>244</v>
      </c>
    </row>
    <row r="49" spans="1:6" ht="26.4" x14ac:dyDescent="0.3">
      <c r="A49" s="9" t="s">
        <v>102</v>
      </c>
      <c r="B49" s="9" t="s">
        <v>245</v>
      </c>
      <c r="C49" s="9" t="s">
        <v>123</v>
      </c>
      <c r="D49" s="10" t="s">
        <v>5</v>
      </c>
      <c r="E49" s="9" t="s">
        <v>246</v>
      </c>
      <c r="F49" s="9" t="s">
        <v>247</v>
      </c>
    </row>
    <row r="50" spans="1:6" ht="26.4" x14ac:dyDescent="0.3">
      <c r="A50" s="9" t="s">
        <v>102</v>
      </c>
      <c r="B50" s="9" t="s">
        <v>114</v>
      </c>
      <c r="C50" s="9" t="s">
        <v>123</v>
      </c>
      <c r="D50" s="10" t="s">
        <v>5</v>
      </c>
      <c r="E50" s="9" t="s">
        <v>248</v>
      </c>
      <c r="F50" s="9" t="s">
        <v>142</v>
      </c>
    </row>
  </sheetData>
  <autoFilter ref="A4:F50" xr:uid="{00000000-0009-0000-0000-000002000000}"/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F16"/>
  <sheetViews>
    <sheetView zoomScaleNormal="100" workbookViewId="0">
      <pane ySplit="4" topLeftCell="A5" activePane="bottomLeft" state="frozen"/>
      <selection pane="bottomLeft" activeCell="B10" sqref="B10"/>
    </sheetView>
  </sheetViews>
  <sheetFormatPr defaultColWidth="8.6640625" defaultRowHeight="14.4" x14ac:dyDescent="0.3"/>
  <cols>
    <col min="1" max="1" width="10" customWidth="1"/>
    <col min="2" max="2" width="22" customWidth="1"/>
    <col min="3" max="3" width="38" customWidth="1"/>
    <col min="4" max="4" width="46" customWidth="1"/>
    <col min="5" max="5" width="50" customWidth="1"/>
    <col min="6" max="6" width="28" customWidth="1"/>
  </cols>
  <sheetData>
    <row r="1" spans="1:6" ht="21" x14ac:dyDescent="0.4">
      <c r="A1" s="14" t="s">
        <v>249</v>
      </c>
      <c r="B1" s="14"/>
      <c r="C1" s="14"/>
      <c r="D1" s="14"/>
      <c r="E1" s="14"/>
      <c r="F1" s="14"/>
    </row>
    <row r="2" spans="1:6" x14ac:dyDescent="0.3">
      <c r="A2" s="15" t="s">
        <v>250</v>
      </c>
      <c r="B2" s="15"/>
      <c r="C2" s="15"/>
      <c r="D2" s="15"/>
      <c r="E2" s="15"/>
      <c r="F2" s="15"/>
    </row>
    <row r="4" spans="1:6" ht="27.75" customHeight="1" x14ac:dyDescent="0.3">
      <c r="A4" s="1" t="s">
        <v>251</v>
      </c>
      <c r="B4" s="1" t="s">
        <v>252</v>
      </c>
      <c r="C4" s="1" t="s">
        <v>253</v>
      </c>
      <c r="D4" s="1" t="s">
        <v>254</v>
      </c>
      <c r="E4" s="1" t="s">
        <v>255</v>
      </c>
      <c r="F4" s="1" t="s">
        <v>256</v>
      </c>
    </row>
    <row r="5" spans="1:6" ht="66" hidden="1" x14ac:dyDescent="0.3">
      <c r="A5" s="11" t="s">
        <v>257</v>
      </c>
      <c r="B5" s="9" t="s">
        <v>88</v>
      </c>
      <c r="C5" s="9" t="s">
        <v>258</v>
      </c>
      <c r="D5" s="9" t="s">
        <v>259</v>
      </c>
      <c r="E5" s="9" t="s">
        <v>260</v>
      </c>
      <c r="F5" s="9" t="s">
        <v>261</v>
      </c>
    </row>
    <row r="6" spans="1:6" ht="66" hidden="1" x14ac:dyDescent="0.3">
      <c r="A6" s="11" t="s">
        <v>257</v>
      </c>
      <c r="B6" s="9" t="s">
        <v>76</v>
      </c>
      <c r="C6" s="9" t="s">
        <v>262</v>
      </c>
      <c r="D6" s="9" t="s">
        <v>263</v>
      </c>
      <c r="E6" s="9" t="s">
        <v>264</v>
      </c>
      <c r="F6" s="9" t="s">
        <v>265</v>
      </c>
    </row>
    <row r="7" spans="1:6" ht="66" x14ac:dyDescent="0.3">
      <c r="A7" s="11" t="s">
        <v>257</v>
      </c>
      <c r="B7" s="9" t="s">
        <v>69</v>
      </c>
      <c r="C7" s="9" t="s">
        <v>266</v>
      </c>
      <c r="D7" s="9" t="s">
        <v>267</v>
      </c>
      <c r="E7" s="9" t="s">
        <v>268</v>
      </c>
      <c r="F7" s="9" t="s">
        <v>269</v>
      </c>
    </row>
    <row r="8" spans="1:6" ht="66" hidden="1" x14ac:dyDescent="0.3">
      <c r="A8" s="11" t="s">
        <v>257</v>
      </c>
      <c r="B8" s="9" t="s">
        <v>270</v>
      </c>
      <c r="C8" s="9" t="s">
        <v>271</v>
      </c>
      <c r="D8" s="9" t="s">
        <v>272</v>
      </c>
      <c r="E8" s="9" t="s">
        <v>273</v>
      </c>
      <c r="F8" s="9" t="s">
        <v>274</v>
      </c>
    </row>
    <row r="9" spans="1:6" ht="66" x14ac:dyDescent="0.3">
      <c r="A9" s="12" t="s">
        <v>275</v>
      </c>
      <c r="B9" s="9" t="s">
        <v>42</v>
      </c>
      <c r="C9" s="9" t="s">
        <v>276</v>
      </c>
      <c r="D9" s="9" t="s">
        <v>277</v>
      </c>
      <c r="E9" s="9" t="s">
        <v>278</v>
      </c>
      <c r="F9" s="9" t="s">
        <v>279</v>
      </c>
    </row>
    <row r="10" spans="1:6" ht="66" x14ac:dyDescent="0.3">
      <c r="A10" s="12" t="s">
        <v>275</v>
      </c>
      <c r="B10" s="9" t="s">
        <v>69</v>
      </c>
      <c r="C10" s="9" t="s">
        <v>280</v>
      </c>
      <c r="D10" s="9" t="s">
        <v>281</v>
      </c>
      <c r="E10" s="9" t="s">
        <v>282</v>
      </c>
      <c r="F10" s="9" t="s">
        <v>283</v>
      </c>
    </row>
    <row r="11" spans="1:6" ht="52.8" x14ac:dyDescent="0.3">
      <c r="A11" s="12" t="s">
        <v>275</v>
      </c>
      <c r="B11" s="9" t="s">
        <v>284</v>
      </c>
      <c r="C11" s="9" t="s">
        <v>285</v>
      </c>
      <c r="D11" s="9" t="s">
        <v>286</v>
      </c>
      <c r="E11" s="9" t="s">
        <v>287</v>
      </c>
      <c r="F11" s="9" t="s">
        <v>288</v>
      </c>
    </row>
    <row r="12" spans="1:6" ht="52.8" hidden="1" x14ac:dyDescent="0.3">
      <c r="A12" s="12" t="s">
        <v>275</v>
      </c>
      <c r="B12" s="9" t="s">
        <v>284</v>
      </c>
      <c r="C12" s="9" t="s">
        <v>289</v>
      </c>
      <c r="D12" s="9" t="s">
        <v>290</v>
      </c>
      <c r="E12" s="9" t="s">
        <v>291</v>
      </c>
      <c r="F12" s="9" t="s">
        <v>292</v>
      </c>
    </row>
    <row r="13" spans="1:6" ht="52.8" hidden="1" x14ac:dyDescent="0.3">
      <c r="A13" s="12" t="s">
        <v>275</v>
      </c>
      <c r="B13" s="9" t="s">
        <v>42</v>
      </c>
      <c r="C13" s="9" t="s">
        <v>293</v>
      </c>
      <c r="D13" s="9" t="s">
        <v>294</v>
      </c>
      <c r="E13" s="9" t="s">
        <v>295</v>
      </c>
      <c r="F13" s="9" t="s">
        <v>296</v>
      </c>
    </row>
    <row r="14" spans="1:6" ht="66" x14ac:dyDescent="0.3">
      <c r="A14" s="13" t="s">
        <v>297</v>
      </c>
      <c r="B14" s="9" t="s">
        <v>24</v>
      </c>
      <c r="C14" s="9" t="s">
        <v>298</v>
      </c>
      <c r="D14" s="9" t="s">
        <v>299</v>
      </c>
      <c r="E14" s="9" t="s">
        <v>300</v>
      </c>
      <c r="F14" s="9" t="s">
        <v>301</v>
      </c>
    </row>
    <row r="15" spans="1:6" ht="52.8" hidden="1" x14ac:dyDescent="0.3">
      <c r="A15" s="13" t="s">
        <v>297</v>
      </c>
      <c r="B15" s="9" t="s">
        <v>102</v>
      </c>
      <c r="C15" s="9" t="s">
        <v>302</v>
      </c>
      <c r="D15" s="9" t="s">
        <v>303</v>
      </c>
      <c r="E15" s="9" t="s">
        <v>304</v>
      </c>
      <c r="F15" s="9" t="s">
        <v>305</v>
      </c>
    </row>
    <row r="16" spans="1:6" ht="52.8" x14ac:dyDescent="0.3">
      <c r="A16" s="13" t="s">
        <v>297</v>
      </c>
      <c r="B16" s="9" t="s">
        <v>97</v>
      </c>
      <c r="C16" s="9" t="s">
        <v>306</v>
      </c>
      <c r="D16" s="9" t="s">
        <v>307</v>
      </c>
      <c r="E16" s="9" t="s">
        <v>308</v>
      </c>
      <c r="F16" s="9" t="s">
        <v>309</v>
      </c>
    </row>
  </sheetData>
  <autoFilter ref="A4:F16" xr:uid="{00000000-0009-0000-0000-000003000000}">
    <filterColumn colId="5">
      <filters>
        <filter val="Large if full LMS; Small if just &quot;attach a document to a subject&quot;"/>
        <filter val="Small (if scoped to file upload/list only)"/>
        <filter val="Small (mostly a permissions/UX decision, not new plumbing)"/>
        <filter val="Small (new form + one API permission change)"/>
        <filter val="Small-Medium (mostly wiring existing exports together)"/>
        <filter val="Small-Medium (one new check in the existing booking-block logic)"/>
      </filters>
    </filterColumn>
  </autoFilter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FlightLogger Features</vt:lpstr>
      <vt:lpstr>Comparison</vt:lpstr>
      <vt:lpstr>Gaps &amp; Priorities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gaurav srivastava</cp:lastModifiedBy>
  <cp:revision>0</cp:revision>
  <dcterms:created xsi:type="dcterms:W3CDTF">2026-08-31T00:28:22Z</dcterms:created>
  <dcterms:modified xsi:type="dcterms:W3CDTF">2026-09-10T14:17:52Z</dcterms:modified>
  <dc:language>en-US</dc:language>
</cp:coreProperties>
</file>